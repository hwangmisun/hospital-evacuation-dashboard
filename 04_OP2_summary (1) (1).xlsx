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9e26e903fc6dba8/바탕 화면/황미선논문/2차VISWLK/"/>
    </mc:Choice>
  </mc:AlternateContent>
  <xr:revisionPtr revIDLastSave="0" documentId="8_{3903F3AE-AF9E-4402-8C52-741140A78D5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OP2_by_run" sheetId="1" r:id="rId1"/>
    <sheet name="condition_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" i="2" l="1"/>
  <c r="I7" i="2"/>
  <c r="H7" i="2"/>
  <c r="G7" i="2"/>
  <c r="F7" i="2"/>
  <c r="E7" i="2"/>
  <c r="D7" i="2"/>
  <c r="J6" i="2"/>
  <c r="I6" i="2"/>
  <c r="H6" i="2"/>
  <c r="G6" i="2"/>
  <c r="F6" i="2"/>
  <c r="E6" i="2"/>
  <c r="D6" i="2"/>
  <c r="J5" i="2"/>
  <c r="I5" i="2"/>
  <c r="H5" i="2"/>
  <c r="G5" i="2"/>
  <c r="F5" i="2"/>
  <c r="E5" i="2"/>
  <c r="D5" i="2"/>
  <c r="J4" i="2"/>
  <c r="I4" i="2"/>
  <c r="H4" i="2"/>
  <c r="G4" i="2"/>
  <c r="F4" i="2"/>
  <c r="E4" i="2"/>
  <c r="D4" i="2"/>
  <c r="J3" i="2"/>
  <c r="I3" i="2"/>
  <c r="H3" i="2"/>
  <c r="G3" i="2"/>
  <c r="F3" i="2"/>
  <c r="E3" i="2"/>
  <c r="D3" i="2"/>
  <c r="J2" i="2"/>
  <c r="I2" i="2"/>
  <c r="H2" i="2"/>
  <c r="G2" i="2"/>
  <c r="F2" i="2"/>
  <c r="E2" i="2"/>
  <c r="D2" i="2"/>
</calcChain>
</file>

<file path=xl/sharedStrings.xml><?xml version="1.0" encoding="utf-8"?>
<sst xmlns="http://schemas.openxmlformats.org/spreadsheetml/2006/main" count="114" uniqueCount="55">
  <si>
    <t>scenario_id</t>
  </si>
  <si>
    <t>scenario</t>
  </si>
  <si>
    <t>occupancy_percent</t>
  </si>
  <si>
    <t>seed</t>
  </si>
  <si>
    <t>t_OP2</t>
  </si>
  <si>
    <t>OP2_zone</t>
  </si>
  <si>
    <t>delta_q_max</t>
  </si>
  <si>
    <t>OP2_duration_bins</t>
  </si>
  <si>
    <t>A_100_seed1</t>
  </si>
  <si>
    <t>A</t>
  </si>
  <si>
    <t>Z12</t>
  </si>
  <si>
    <t>A_100_seed2</t>
  </si>
  <si>
    <t>Z11</t>
  </si>
  <si>
    <t>A_100_seed3</t>
  </si>
  <si>
    <t>A_100_seed4</t>
  </si>
  <si>
    <t>Z04</t>
  </si>
  <si>
    <t>A_100_seed5</t>
  </si>
  <si>
    <t>Z08</t>
  </si>
  <si>
    <t>A_50_seed1</t>
  </si>
  <si>
    <t>Z10</t>
  </si>
  <si>
    <t>A_50_seed2</t>
  </si>
  <si>
    <t>A_50_seed3</t>
  </si>
  <si>
    <t>A_50_seed4</t>
  </si>
  <si>
    <t>A_50_seed5</t>
  </si>
  <si>
    <t>A_75_seed1</t>
  </si>
  <si>
    <t>A_75_seed2</t>
  </si>
  <si>
    <t>A_75_seed3</t>
  </si>
  <si>
    <t>A_75_seed4</t>
  </si>
  <si>
    <t>A_75_seed5</t>
  </si>
  <si>
    <t>B_100_seed1</t>
  </si>
  <si>
    <t>B</t>
  </si>
  <si>
    <t>B_100_seed2</t>
  </si>
  <si>
    <t>B_100_seed3</t>
  </si>
  <si>
    <t>B_100_seed4</t>
  </si>
  <si>
    <t>Z01</t>
  </si>
  <si>
    <t>B_100_seed5</t>
  </si>
  <si>
    <t>B_50_seed1</t>
  </si>
  <si>
    <t>B_50_seed2</t>
  </si>
  <si>
    <t>B_50_seed3</t>
  </si>
  <si>
    <t>B_50_seed4</t>
  </si>
  <si>
    <t>B_50_seed5</t>
  </si>
  <si>
    <t>B_75_seed1</t>
  </si>
  <si>
    <t>B_75_seed2</t>
  </si>
  <si>
    <t>B_75_seed3</t>
  </si>
  <si>
    <t>B_75_seed4</t>
  </si>
  <si>
    <t>B_75_seed5</t>
  </si>
  <si>
    <t>Z09</t>
  </si>
  <si>
    <t>n_runs</t>
  </si>
  <si>
    <t>t_OP2_mean</t>
  </si>
  <si>
    <t>t_OP2_std</t>
  </si>
  <si>
    <t>delta_q_max_mean</t>
  </si>
  <si>
    <t>delta_q_max_std</t>
  </si>
  <si>
    <t>OP2_duration_bins_mean</t>
  </si>
  <si>
    <t>OP2_duration_bins_std</t>
  </si>
  <si>
    <t>n_detected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</si>
</sst>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1" customWidth="1"/>
    <col min="3" max="3" width="20" customWidth="1"/>
    <col min="4" max="5" width="10" customWidth="1"/>
    <col min="6" max="6" width="11" customWidth="1"/>
    <col min="7" max="7" width="14" customWidth="1"/>
    <col min="8" max="8" width="20" customWidth="1"/>
  </cols>
  <sheetData>
    <row r="1" spans="1:8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3">
        <v>100</v>
      </c>
      <c r="D2" s="3">
        <v>1</v>
      </c>
      <c r="E2" s="4">
        <v>119</v>
      </c>
      <c r="F2" s="2" t="s">
        <v>10</v>
      </c>
      <c r="G2" s="4">
        <v>1</v>
      </c>
      <c r="H2" s="3">
        <v>262</v>
      </c>
    </row>
    <row r="3" spans="1:8" x14ac:dyDescent="0.35">
      <c r="A3" s="2" t="s">
        <v>11</v>
      </c>
      <c r="B3" s="2" t="s">
        <v>9</v>
      </c>
      <c r="C3" s="3">
        <v>100</v>
      </c>
      <c r="D3" s="3">
        <v>2</v>
      </c>
      <c r="E3" s="4">
        <v>105</v>
      </c>
      <c r="F3" s="2" t="s">
        <v>12</v>
      </c>
      <c r="G3" s="4">
        <v>2</v>
      </c>
      <c r="H3" s="3">
        <v>26</v>
      </c>
    </row>
    <row r="4" spans="1:8" x14ac:dyDescent="0.35">
      <c r="A4" s="2" t="s">
        <v>13</v>
      </c>
      <c r="B4" s="2" t="s">
        <v>9</v>
      </c>
      <c r="C4" s="3">
        <v>100</v>
      </c>
      <c r="D4" s="3">
        <v>3</v>
      </c>
      <c r="E4" s="4">
        <v>95</v>
      </c>
      <c r="F4" s="2" t="s">
        <v>12</v>
      </c>
      <c r="G4" s="4">
        <v>1</v>
      </c>
      <c r="H4" s="3">
        <v>7</v>
      </c>
    </row>
    <row r="5" spans="1:8" x14ac:dyDescent="0.35">
      <c r="A5" s="2" t="s">
        <v>14</v>
      </c>
      <c r="B5" s="2" t="s">
        <v>9</v>
      </c>
      <c r="C5" s="3">
        <v>100</v>
      </c>
      <c r="D5" s="3">
        <v>4</v>
      </c>
      <c r="E5" s="4">
        <v>17</v>
      </c>
      <c r="F5" s="2" t="s">
        <v>15</v>
      </c>
      <c r="G5" s="4">
        <v>4</v>
      </c>
      <c r="H5" s="3">
        <v>9</v>
      </c>
    </row>
    <row r="6" spans="1:8" x14ac:dyDescent="0.35">
      <c r="A6" s="2" t="s">
        <v>16</v>
      </c>
      <c r="B6" s="2" t="s">
        <v>9</v>
      </c>
      <c r="C6" s="3">
        <v>100</v>
      </c>
      <c r="D6" s="3">
        <v>5</v>
      </c>
      <c r="E6" s="4">
        <v>108</v>
      </c>
      <c r="F6" s="2" t="s">
        <v>17</v>
      </c>
      <c r="G6" s="4">
        <v>1</v>
      </c>
      <c r="H6" s="3">
        <v>322</v>
      </c>
    </row>
    <row r="7" spans="1:8" x14ac:dyDescent="0.35">
      <c r="A7" s="2" t="s">
        <v>18</v>
      </c>
      <c r="B7" s="2" t="s">
        <v>9</v>
      </c>
      <c r="C7" s="3">
        <v>50</v>
      </c>
      <c r="D7" s="3">
        <v>1</v>
      </c>
      <c r="E7" s="4">
        <v>77</v>
      </c>
      <c r="F7" s="2" t="s">
        <v>19</v>
      </c>
      <c r="G7" s="4">
        <v>1</v>
      </c>
      <c r="H7" s="3">
        <v>67</v>
      </c>
    </row>
    <row r="8" spans="1:8" x14ac:dyDescent="0.35">
      <c r="A8" s="2" t="s">
        <v>20</v>
      </c>
      <c r="B8" s="2" t="s">
        <v>9</v>
      </c>
      <c r="C8" s="3">
        <v>50</v>
      </c>
      <c r="D8" s="3">
        <v>2</v>
      </c>
      <c r="E8" s="4">
        <v>76</v>
      </c>
      <c r="F8" s="2" t="s">
        <v>19</v>
      </c>
      <c r="G8" s="4">
        <v>1</v>
      </c>
      <c r="H8" s="3">
        <v>65</v>
      </c>
    </row>
    <row r="9" spans="1:8" x14ac:dyDescent="0.35">
      <c r="A9" s="2" t="s">
        <v>21</v>
      </c>
      <c r="B9" s="2" t="s">
        <v>9</v>
      </c>
      <c r="C9" s="3">
        <v>50</v>
      </c>
      <c r="D9" s="3">
        <v>3</v>
      </c>
      <c r="E9" s="4">
        <v>85</v>
      </c>
      <c r="F9" s="2" t="s">
        <v>19</v>
      </c>
      <c r="G9" s="4">
        <v>1</v>
      </c>
      <c r="H9" s="3">
        <v>57</v>
      </c>
    </row>
    <row r="10" spans="1:8" x14ac:dyDescent="0.35">
      <c r="A10" s="2" t="s">
        <v>22</v>
      </c>
      <c r="B10" s="2" t="s">
        <v>9</v>
      </c>
      <c r="C10" s="3">
        <v>50</v>
      </c>
      <c r="D10" s="3">
        <v>4</v>
      </c>
      <c r="E10" s="4">
        <v>136</v>
      </c>
      <c r="F10" s="2" t="s">
        <v>12</v>
      </c>
      <c r="G10" s="4">
        <v>1</v>
      </c>
      <c r="H10" s="3">
        <v>56</v>
      </c>
    </row>
    <row r="11" spans="1:8" x14ac:dyDescent="0.35">
      <c r="A11" s="2" t="s">
        <v>23</v>
      </c>
      <c r="B11" s="2" t="s">
        <v>9</v>
      </c>
      <c r="C11" s="3">
        <v>50</v>
      </c>
      <c r="D11" s="3">
        <v>5</v>
      </c>
      <c r="E11" s="4">
        <v>93</v>
      </c>
      <c r="F11" s="2" t="s">
        <v>19</v>
      </c>
      <c r="G11" s="4">
        <v>1</v>
      </c>
      <c r="H11" s="3">
        <v>65</v>
      </c>
    </row>
    <row r="12" spans="1:8" x14ac:dyDescent="0.35">
      <c r="A12" s="2" t="s">
        <v>24</v>
      </c>
      <c r="B12" s="2" t="s">
        <v>9</v>
      </c>
      <c r="C12" s="3">
        <v>75</v>
      </c>
      <c r="D12" s="3">
        <v>1</v>
      </c>
      <c r="E12" s="4">
        <v>81</v>
      </c>
      <c r="F12" s="2" t="s">
        <v>19</v>
      </c>
      <c r="G12" s="4">
        <v>1</v>
      </c>
      <c r="H12" s="3">
        <v>89</v>
      </c>
    </row>
    <row r="13" spans="1:8" x14ac:dyDescent="0.35">
      <c r="A13" s="2" t="s">
        <v>25</v>
      </c>
      <c r="B13" s="2" t="s">
        <v>9</v>
      </c>
      <c r="C13" s="3">
        <v>75</v>
      </c>
      <c r="D13" s="3">
        <v>2</v>
      </c>
      <c r="E13" s="4">
        <v>92</v>
      </c>
      <c r="F13" s="2" t="s">
        <v>12</v>
      </c>
      <c r="G13" s="4">
        <v>0</v>
      </c>
      <c r="H13" s="3">
        <v>5</v>
      </c>
    </row>
    <row r="14" spans="1:8" x14ac:dyDescent="0.35">
      <c r="A14" s="2" t="s">
        <v>26</v>
      </c>
      <c r="B14" s="2" t="s">
        <v>9</v>
      </c>
      <c r="C14" s="3">
        <v>75</v>
      </c>
      <c r="D14" s="3">
        <v>3</v>
      </c>
      <c r="E14" s="4">
        <v>97</v>
      </c>
      <c r="F14" s="2" t="s">
        <v>12</v>
      </c>
      <c r="G14" s="4">
        <v>1</v>
      </c>
      <c r="H14" s="3">
        <v>41</v>
      </c>
    </row>
    <row r="15" spans="1:8" x14ac:dyDescent="0.35">
      <c r="A15" s="2" t="s">
        <v>27</v>
      </c>
      <c r="B15" s="2" t="s">
        <v>9</v>
      </c>
      <c r="C15" s="3">
        <v>75</v>
      </c>
      <c r="D15" s="3">
        <v>4</v>
      </c>
      <c r="E15" s="4">
        <v>81</v>
      </c>
      <c r="F15" s="2" t="s">
        <v>12</v>
      </c>
      <c r="G15" s="4">
        <v>1</v>
      </c>
      <c r="H15" s="3">
        <v>3</v>
      </c>
    </row>
    <row r="16" spans="1:8" x14ac:dyDescent="0.35">
      <c r="A16" s="2" t="s">
        <v>28</v>
      </c>
      <c r="B16" s="2" t="s">
        <v>9</v>
      </c>
      <c r="C16" s="3">
        <v>75</v>
      </c>
      <c r="D16" s="3">
        <v>5</v>
      </c>
      <c r="E16" s="4">
        <v>113</v>
      </c>
      <c r="F16" s="2" t="s">
        <v>12</v>
      </c>
      <c r="G16" s="4">
        <v>2</v>
      </c>
      <c r="H16" s="3">
        <v>55</v>
      </c>
    </row>
    <row r="17" spans="1:8" x14ac:dyDescent="0.35">
      <c r="A17" s="2" t="s">
        <v>29</v>
      </c>
      <c r="B17" s="2" t="s">
        <v>30</v>
      </c>
      <c r="C17" s="3">
        <v>100</v>
      </c>
      <c r="D17" s="3">
        <v>1</v>
      </c>
      <c r="E17" s="4">
        <v>165</v>
      </c>
      <c r="F17" s="2" t="s">
        <v>10</v>
      </c>
      <c r="G17" s="4">
        <v>1</v>
      </c>
      <c r="H17" s="3">
        <v>3</v>
      </c>
    </row>
    <row r="18" spans="1:8" x14ac:dyDescent="0.35">
      <c r="A18" s="2" t="s">
        <v>31</v>
      </c>
      <c r="B18" s="2" t="s">
        <v>30</v>
      </c>
      <c r="C18" s="3">
        <v>100</v>
      </c>
      <c r="D18" s="3">
        <v>2</v>
      </c>
      <c r="E18" s="4">
        <v>136</v>
      </c>
      <c r="F18" s="2" t="s">
        <v>17</v>
      </c>
      <c r="G18" s="4">
        <v>0</v>
      </c>
      <c r="H18" s="3">
        <v>5</v>
      </c>
    </row>
    <row r="19" spans="1:8" x14ac:dyDescent="0.35">
      <c r="A19" s="2" t="s">
        <v>32</v>
      </c>
      <c r="B19" s="2" t="s">
        <v>30</v>
      </c>
      <c r="C19" s="3">
        <v>100</v>
      </c>
      <c r="D19" s="3">
        <v>3</v>
      </c>
      <c r="E19" s="4">
        <v>114</v>
      </c>
      <c r="F19" s="2" t="s">
        <v>12</v>
      </c>
      <c r="G19" s="4">
        <v>1</v>
      </c>
      <c r="H19" s="3">
        <v>8</v>
      </c>
    </row>
    <row r="20" spans="1:8" x14ac:dyDescent="0.35">
      <c r="A20" s="2" t="s">
        <v>33</v>
      </c>
      <c r="B20" s="2" t="s">
        <v>30</v>
      </c>
      <c r="C20" s="3">
        <v>100</v>
      </c>
      <c r="D20" s="3">
        <v>4</v>
      </c>
      <c r="E20" s="4">
        <v>73</v>
      </c>
      <c r="F20" s="2" t="s">
        <v>34</v>
      </c>
      <c r="G20" s="4">
        <v>1</v>
      </c>
      <c r="H20" s="3">
        <v>3</v>
      </c>
    </row>
    <row r="21" spans="1:8" x14ac:dyDescent="0.35">
      <c r="A21" s="2" t="s">
        <v>35</v>
      </c>
      <c r="B21" s="2" t="s">
        <v>30</v>
      </c>
      <c r="C21" s="3">
        <v>100</v>
      </c>
      <c r="D21" s="3">
        <v>5</v>
      </c>
      <c r="E21" s="4">
        <v>121</v>
      </c>
      <c r="F21" s="2" t="s">
        <v>12</v>
      </c>
      <c r="G21" s="4">
        <v>2</v>
      </c>
      <c r="H21" s="3">
        <v>121</v>
      </c>
    </row>
    <row r="22" spans="1:8" x14ac:dyDescent="0.35">
      <c r="A22" s="2" t="s">
        <v>36</v>
      </c>
      <c r="B22" s="2" t="s">
        <v>30</v>
      </c>
      <c r="C22" s="3">
        <v>50</v>
      </c>
      <c r="D22" s="3">
        <v>1</v>
      </c>
      <c r="E22" s="4">
        <v>137</v>
      </c>
      <c r="F22" s="2" t="s">
        <v>12</v>
      </c>
      <c r="G22" s="4">
        <v>2</v>
      </c>
      <c r="H22" s="3">
        <v>10</v>
      </c>
    </row>
    <row r="23" spans="1:8" x14ac:dyDescent="0.35">
      <c r="A23" s="2" t="s">
        <v>37</v>
      </c>
      <c r="B23" s="2" t="s">
        <v>30</v>
      </c>
      <c r="C23" s="3">
        <v>50</v>
      </c>
      <c r="D23" s="3">
        <v>2</v>
      </c>
      <c r="E23" s="4">
        <v>109</v>
      </c>
      <c r="F23" s="2" t="s">
        <v>19</v>
      </c>
      <c r="G23" s="4">
        <v>1</v>
      </c>
      <c r="H23" s="3">
        <v>68</v>
      </c>
    </row>
    <row r="24" spans="1:8" x14ac:dyDescent="0.35">
      <c r="A24" s="2" t="s">
        <v>38</v>
      </c>
      <c r="B24" s="2" t="s">
        <v>30</v>
      </c>
      <c r="C24" s="3">
        <v>50</v>
      </c>
      <c r="D24" s="3">
        <v>3</v>
      </c>
      <c r="E24" s="4">
        <v>124</v>
      </c>
      <c r="F24" s="2" t="s">
        <v>19</v>
      </c>
      <c r="G24" s="4">
        <v>1</v>
      </c>
      <c r="H24" s="3">
        <v>47</v>
      </c>
    </row>
    <row r="25" spans="1:8" x14ac:dyDescent="0.35">
      <c r="A25" s="2" t="s">
        <v>39</v>
      </c>
      <c r="B25" s="2" t="s">
        <v>30</v>
      </c>
      <c r="C25" s="3">
        <v>50</v>
      </c>
      <c r="D25" s="3">
        <v>4</v>
      </c>
      <c r="E25" s="4">
        <v>134</v>
      </c>
      <c r="F25" s="2" t="s">
        <v>12</v>
      </c>
      <c r="G25" s="4">
        <v>1</v>
      </c>
      <c r="H25" s="3">
        <v>75</v>
      </c>
    </row>
    <row r="26" spans="1:8" x14ac:dyDescent="0.35">
      <c r="A26" s="2" t="s">
        <v>40</v>
      </c>
      <c r="B26" s="2" t="s">
        <v>30</v>
      </c>
      <c r="C26" s="3">
        <v>50</v>
      </c>
      <c r="D26" s="3">
        <v>5</v>
      </c>
      <c r="E26" s="4">
        <v>131</v>
      </c>
      <c r="F26" s="2" t="s">
        <v>19</v>
      </c>
      <c r="G26" s="4">
        <v>1</v>
      </c>
      <c r="H26" s="3">
        <v>38</v>
      </c>
    </row>
    <row r="27" spans="1:8" x14ac:dyDescent="0.35">
      <c r="A27" s="2" t="s">
        <v>41</v>
      </c>
      <c r="B27" s="2" t="s">
        <v>30</v>
      </c>
      <c r="C27" s="3">
        <v>75</v>
      </c>
      <c r="D27" s="3">
        <v>1</v>
      </c>
      <c r="E27" s="4">
        <v>106</v>
      </c>
      <c r="F27" s="2" t="s">
        <v>19</v>
      </c>
      <c r="G27" s="4">
        <v>1</v>
      </c>
      <c r="H27" s="3">
        <v>90</v>
      </c>
    </row>
    <row r="28" spans="1:8" x14ac:dyDescent="0.35">
      <c r="A28" s="2" t="s">
        <v>42</v>
      </c>
      <c r="B28" s="2" t="s">
        <v>30</v>
      </c>
      <c r="C28" s="3">
        <v>75</v>
      </c>
      <c r="D28" s="3">
        <v>2</v>
      </c>
      <c r="E28" s="4">
        <v>121</v>
      </c>
      <c r="F28" s="2" t="s">
        <v>12</v>
      </c>
      <c r="G28" s="4">
        <v>2</v>
      </c>
      <c r="H28" s="3">
        <v>10</v>
      </c>
    </row>
    <row r="29" spans="1:8" x14ac:dyDescent="0.35">
      <c r="A29" s="2" t="s">
        <v>43</v>
      </c>
      <c r="B29" s="2" t="s">
        <v>30</v>
      </c>
      <c r="C29" s="3">
        <v>75</v>
      </c>
      <c r="D29" s="3">
        <v>3</v>
      </c>
      <c r="E29" s="4">
        <v>115</v>
      </c>
      <c r="F29" s="2" t="s">
        <v>34</v>
      </c>
      <c r="G29" s="4">
        <v>0</v>
      </c>
      <c r="H29" s="3">
        <v>7</v>
      </c>
    </row>
    <row r="30" spans="1:8" x14ac:dyDescent="0.35">
      <c r="A30" s="2" t="s">
        <v>44</v>
      </c>
      <c r="B30" s="2" t="s">
        <v>30</v>
      </c>
      <c r="C30" s="3">
        <v>75</v>
      </c>
      <c r="D30" s="3">
        <v>4</v>
      </c>
      <c r="E30" s="4">
        <v>112</v>
      </c>
      <c r="F30" s="2" t="s">
        <v>19</v>
      </c>
      <c r="G30" s="4">
        <v>1</v>
      </c>
      <c r="H30" s="3">
        <v>82</v>
      </c>
    </row>
    <row r="31" spans="1:8" x14ac:dyDescent="0.35">
      <c r="A31" s="2" t="s">
        <v>45</v>
      </c>
      <c r="B31" s="2" t="s">
        <v>30</v>
      </c>
      <c r="C31" s="3">
        <v>75</v>
      </c>
      <c r="D31" s="3">
        <v>5</v>
      </c>
      <c r="E31" s="4">
        <v>131</v>
      </c>
      <c r="F31" s="2" t="s">
        <v>46</v>
      </c>
      <c r="G31" s="4">
        <v>2</v>
      </c>
      <c r="H31" s="3">
        <v>7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0" width="16" customWidth="1"/>
  </cols>
  <sheetData>
    <row r="1" spans="1:10" ht="27.75" customHeight="1" x14ac:dyDescent="0.35">
      <c r="A1" s="1" t="s">
        <v>1</v>
      </c>
      <c r="B1" s="1" t="s">
        <v>2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 x14ac:dyDescent="0.35">
      <c r="A2" s="2" t="s">
        <v>9</v>
      </c>
      <c r="B2" s="2">
        <v>100</v>
      </c>
      <c r="C2" s="2">
        <v>5</v>
      </c>
      <c r="D2" s="5">
        <f>IFERROR(AVERAGE(OP2_by_run!E2,OP2_by_run!E3,OP2_by_run!E4,OP2_by_run!E5,OP2_by_run!E6),"")</f>
        <v>88.8</v>
      </c>
      <c r="E2" s="5">
        <f>IFERROR(STDEV(OP2_by_run!E2,OP2_by_run!E3,OP2_by_run!E4,OP2_by_run!E5,OP2_by_run!E6),"")</f>
        <v>41.039005835911773</v>
      </c>
      <c r="F2" s="5">
        <f>IFERROR(AVERAGE(OP2_by_run!G2,OP2_by_run!G3,OP2_by_run!G4,OP2_by_run!G5,OP2_by_run!G6),"")</f>
        <v>1.8</v>
      </c>
      <c r="G2" s="5">
        <f>IFERROR(STDEV(OP2_by_run!G2,OP2_by_run!G3,OP2_by_run!G4,OP2_by_run!G5,OP2_by_run!G6),"")</f>
        <v>1.3038404810405297</v>
      </c>
      <c r="H2" s="5">
        <f>IFERROR(AVERAGE(OP2_by_run!H2,OP2_by_run!H3,OP2_by_run!H4,OP2_by_run!H5,OP2_by_run!H6),"")</f>
        <v>125.2</v>
      </c>
      <c r="I2" s="5">
        <f>IFERROR(STDEV(OP2_by_run!H2,OP2_by_run!H3,OP2_by_run!H4,OP2_by_run!H5,OP2_by_run!H6),"")</f>
        <v>153.9145867031452</v>
      </c>
      <c r="J2" s="5">
        <f>COUNT(OP2_by_run!E2,OP2_by_run!E3,OP2_by_run!E4,OP2_by_run!E5,OP2_by_run!E6)</f>
        <v>5</v>
      </c>
    </row>
    <row r="3" spans="1:10" x14ac:dyDescent="0.35">
      <c r="A3" s="2" t="s">
        <v>9</v>
      </c>
      <c r="B3" s="2">
        <v>75</v>
      </c>
      <c r="C3" s="2">
        <v>5</v>
      </c>
      <c r="D3" s="5">
        <f>IFERROR(AVERAGE(OP2_by_run!E12,OP2_by_run!E13,OP2_by_run!E14,OP2_by_run!E15,OP2_by_run!E16),"")</f>
        <v>92.8</v>
      </c>
      <c r="E3" s="5">
        <f>IFERROR(STDEV(OP2_by_run!E12,OP2_by_run!E13,OP2_by_run!E14,OP2_by_run!E15,OP2_by_run!E16),"")</f>
        <v>13.274034804836122</v>
      </c>
      <c r="F3" s="5">
        <f>IFERROR(AVERAGE(OP2_by_run!G12,OP2_by_run!G13,OP2_by_run!G14,OP2_by_run!G15,OP2_by_run!G16),"")</f>
        <v>1</v>
      </c>
      <c r="G3" s="5">
        <f>IFERROR(STDEV(OP2_by_run!G12,OP2_by_run!G13,OP2_by_run!G14,OP2_by_run!G15,OP2_by_run!G16),"")</f>
        <v>0.70710678118654757</v>
      </c>
      <c r="H3" s="5">
        <f>IFERROR(AVERAGE(OP2_by_run!H12,OP2_by_run!H13,OP2_by_run!H14,OP2_by_run!H15,OP2_by_run!H16),"")</f>
        <v>38.6</v>
      </c>
      <c r="I3" s="5">
        <f>IFERROR(STDEV(OP2_by_run!H12,OP2_by_run!H13,OP2_by_run!H14,OP2_by_run!H15,OP2_by_run!H16),"")</f>
        <v>36.09432088293115</v>
      </c>
      <c r="J3" s="5">
        <f>COUNT(OP2_by_run!E12,OP2_by_run!E13,OP2_by_run!E14,OP2_by_run!E15,OP2_by_run!E16)</f>
        <v>5</v>
      </c>
    </row>
    <row r="4" spans="1:10" x14ac:dyDescent="0.35">
      <c r="A4" s="2" t="s">
        <v>9</v>
      </c>
      <c r="B4" s="2">
        <v>50</v>
      </c>
      <c r="C4" s="2">
        <v>5</v>
      </c>
      <c r="D4" s="5">
        <f>IFERROR(AVERAGE(OP2_by_run!E7,OP2_by_run!E8,OP2_by_run!E9,OP2_by_run!E10,OP2_by_run!E11),"")</f>
        <v>93.4</v>
      </c>
      <c r="E4" s="5">
        <f>IFERROR(STDEV(OP2_by_run!E7,OP2_by_run!E8,OP2_by_run!E9,OP2_by_run!E10,OP2_by_run!E11),"")</f>
        <v>24.785076154815407</v>
      </c>
      <c r="F4" s="5">
        <f>IFERROR(AVERAGE(OP2_by_run!G7,OP2_by_run!G8,OP2_by_run!G9,OP2_by_run!G10,OP2_by_run!G11),"")</f>
        <v>1</v>
      </c>
      <c r="G4" s="5">
        <f>IFERROR(STDEV(OP2_by_run!G7,OP2_by_run!G8,OP2_by_run!G9,OP2_by_run!G10,OP2_by_run!G11),"")</f>
        <v>0</v>
      </c>
      <c r="H4" s="5">
        <f>IFERROR(AVERAGE(OP2_by_run!H7,OP2_by_run!H8,OP2_by_run!H9,OP2_by_run!H10,OP2_by_run!H11),"")</f>
        <v>62</v>
      </c>
      <c r="I4" s="5">
        <f>IFERROR(STDEV(OP2_by_run!H7,OP2_by_run!H8,OP2_by_run!H9,OP2_by_run!H10,OP2_by_run!H11),"")</f>
        <v>5.0990195135927845</v>
      </c>
      <c r="J4" s="5">
        <f>COUNT(OP2_by_run!E7,OP2_by_run!E8,OP2_by_run!E9,OP2_by_run!E10,OP2_by_run!E11)</f>
        <v>5</v>
      </c>
    </row>
    <row r="5" spans="1:10" x14ac:dyDescent="0.35">
      <c r="A5" s="2" t="s">
        <v>30</v>
      </c>
      <c r="B5" s="2">
        <v>100</v>
      </c>
      <c r="C5" s="2">
        <v>5</v>
      </c>
      <c r="D5" s="5">
        <f>IFERROR(AVERAGE(OP2_by_run!E17,OP2_by_run!E18,OP2_by_run!E19,OP2_by_run!E20,OP2_by_run!E21),"")</f>
        <v>121.8</v>
      </c>
      <c r="E5" s="5">
        <f>IFERROR(STDEV(OP2_by_run!E17,OP2_by_run!E18,OP2_by_run!E19,OP2_by_run!E20,OP2_by_run!E21),"")</f>
        <v>33.581244765493743</v>
      </c>
      <c r="F5" s="5">
        <f>IFERROR(AVERAGE(OP2_by_run!G17,OP2_by_run!G18,OP2_by_run!G19,OP2_by_run!G20,OP2_by_run!G21),"")</f>
        <v>1</v>
      </c>
      <c r="G5" s="5">
        <f>IFERROR(STDEV(OP2_by_run!G17,OP2_by_run!G18,OP2_by_run!G19,OP2_by_run!G20,OP2_by_run!G21),"")</f>
        <v>0.70710678118654757</v>
      </c>
      <c r="H5" s="5">
        <f>IFERROR(AVERAGE(OP2_by_run!H17,OP2_by_run!H18,OP2_by_run!H19,OP2_by_run!H20,OP2_by_run!H21),"")</f>
        <v>28</v>
      </c>
      <c r="I5" s="5">
        <f>IFERROR(STDEV(OP2_by_run!H17,OP2_by_run!H18,OP2_by_run!H19,OP2_by_run!H20,OP2_by_run!H21),"")</f>
        <v>52.028838157314254</v>
      </c>
      <c r="J5" s="5">
        <f>COUNT(OP2_by_run!E17,OP2_by_run!E18,OP2_by_run!E19,OP2_by_run!E20,OP2_by_run!E21)</f>
        <v>5</v>
      </c>
    </row>
    <row r="6" spans="1:10" x14ac:dyDescent="0.35">
      <c r="A6" s="2" t="s">
        <v>30</v>
      </c>
      <c r="B6" s="2">
        <v>75</v>
      </c>
      <c r="C6" s="2">
        <v>5</v>
      </c>
      <c r="D6" s="5">
        <f>IFERROR(AVERAGE(OP2_by_run!E27,OP2_by_run!E28,OP2_by_run!E29,OP2_by_run!E30,OP2_by_run!E31),"")</f>
        <v>117</v>
      </c>
      <c r="E6" s="5">
        <f>IFERROR(STDEV(OP2_by_run!E27,OP2_by_run!E28,OP2_by_run!E29,OP2_by_run!E30,OP2_by_run!E31),"")</f>
        <v>9.5131487952202232</v>
      </c>
      <c r="F6" s="5">
        <f>IFERROR(AVERAGE(OP2_by_run!G27,OP2_by_run!G28,OP2_by_run!G29,OP2_by_run!G30,OP2_by_run!G31),"")</f>
        <v>1.2</v>
      </c>
      <c r="G6" s="5">
        <f>IFERROR(STDEV(OP2_by_run!G27,OP2_by_run!G28,OP2_by_run!G29,OP2_by_run!G30,OP2_by_run!G31),"")</f>
        <v>0.83666002653407556</v>
      </c>
      <c r="H6" s="5">
        <f>IFERROR(AVERAGE(OP2_by_run!H27,OP2_by_run!H28,OP2_by_run!H29,OP2_by_run!H30,OP2_by_run!H31),"")</f>
        <v>39.200000000000003</v>
      </c>
      <c r="I6" s="5">
        <f>IFERROR(STDEV(OP2_by_run!H27,OP2_by_run!H28,OP2_by_run!H29,OP2_by_run!H30,OP2_by_run!H31),"")</f>
        <v>42.833398184127304</v>
      </c>
      <c r="J6" s="5">
        <f>COUNT(OP2_by_run!E27,OP2_by_run!E28,OP2_by_run!E29,OP2_by_run!E30,OP2_by_run!E31)</f>
        <v>5</v>
      </c>
    </row>
    <row r="7" spans="1:10" x14ac:dyDescent="0.35">
      <c r="A7" s="2" t="s">
        <v>30</v>
      </c>
      <c r="B7" s="2">
        <v>50</v>
      </c>
      <c r="C7" s="2">
        <v>5</v>
      </c>
      <c r="D7" s="5">
        <f>IFERROR(AVERAGE(OP2_by_run!E22,OP2_by_run!E23,OP2_by_run!E24,OP2_by_run!E25,OP2_by_run!E26),"")</f>
        <v>127</v>
      </c>
      <c r="E7" s="5">
        <f>IFERROR(STDEV(OP2_by_run!E22,OP2_by_run!E23,OP2_by_run!E24,OP2_by_run!E25,OP2_by_run!E26),"")</f>
        <v>11.157956802210698</v>
      </c>
      <c r="F7" s="5">
        <f>IFERROR(AVERAGE(OP2_by_run!G22,OP2_by_run!G23,OP2_by_run!G24,OP2_by_run!G25,OP2_by_run!G26),"")</f>
        <v>1.2</v>
      </c>
      <c r="G7" s="5">
        <f>IFERROR(STDEV(OP2_by_run!G22,OP2_by_run!G23,OP2_by_run!G24,OP2_by_run!G25,OP2_by_run!G26),"")</f>
        <v>0.44721359549995787</v>
      </c>
      <c r="H7" s="5">
        <f>IFERROR(AVERAGE(OP2_by_run!H22,OP2_by_run!H23,OP2_by_run!H24,OP2_by_run!H25,OP2_by_run!H26),"")</f>
        <v>47.6</v>
      </c>
      <c r="I7" s="5">
        <f>IFERROR(STDEV(OP2_by_run!H22,OP2_by_run!H23,OP2_by_run!H24,OP2_by_run!H25,OP2_by_run!H26),"")</f>
        <v>25.851498989420328</v>
      </c>
      <c r="J7" s="5">
        <f>COUNT(OP2_by_run!E22,OP2_by_run!E23,OP2_by_run!E24,OP2_by_run!E25,OP2_by_run!E26)</f>
        <v>5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OP2_by_run</vt:lpstr>
      <vt:lpstr>condition_summary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미선 황</cp:lastModifiedBy>
  <cp:revision>0</cp:revision>
  <dcterms:created xsi:type="dcterms:W3CDTF">2026-06-16T06:49:29Z</dcterms:created>
  <dcterms:modified xsi:type="dcterms:W3CDTF">2026-08-16T10:55:55Z</dcterms:modified>
  <dc:language>en-US</dc:language>
</cp:coreProperties>
</file>