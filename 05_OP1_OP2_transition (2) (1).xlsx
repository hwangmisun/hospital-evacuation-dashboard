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ition_by_run" sheetId="1" state="visible" r:id="rId3"/>
    <sheet name="overall_summary" sheetId="2" state="visible" r:id="rId4"/>
    <sheet name="condition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<sst xmlns="http://schemas.openxmlformats.org/spreadsheetml/2006/main" count="336" uniqueCount="66">
  <si>
    <t xml:space="preserve">scenario_id</t>
  </si>
  <si>
    <t xml:space="preserve">scenario</t>
  </si>
  <si>
    <t xml:space="preserve">occupancy_percent</t>
  </si>
  <si>
    <t xml:space="preserve">seed</t>
  </si>
  <si>
    <t xml:space="preserve">t_OP1</t>
  </si>
  <si>
    <t xml:space="preserve">OP1_zone</t>
  </si>
  <si>
    <t xml:space="preserve">t_OP2</t>
  </si>
  <si>
    <t xml:space="preserve">OP2_zone</t>
  </si>
  <si>
    <t xml:space="preserve">delta_t_OP1_OP2</t>
  </si>
  <si>
    <t xml:space="preserve">interpretation</t>
  </si>
  <si>
    <t xml:space="preserve">A_100_seed1</t>
  </si>
  <si>
    <t xml:space="preserve">A</t>
  </si>
  <si>
    <t xml:space="preserve">Z01</t>
  </si>
  <si>
    <t xml:space="preserve">Z12</t>
  </si>
  <si>
    <r>
      <rPr>
        <sz val="10"/>
        <rFont val="Arial"/>
        <family val="0"/>
        <charset val="1"/>
      </rPr>
      <t xml:space="preserve">OP1→OP2 </t>
    </r>
    <r>
      <rPr>
        <sz val="10"/>
        <rFont val="Noto Sans CJK SC"/>
        <family val="2"/>
      </rPr>
      <t xml:space="preserve">전이 검출</t>
    </r>
  </si>
  <si>
    <t xml:space="preserve">A_100_seed2</t>
  </si>
  <si>
    <t xml:space="preserve">Z04</t>
  </si>
  <si>
    <t xml:space="preserve">Z11</t>
  </si>
  <si>
    <t xml:space="preserve">A_100_seed3</t>
  </si>
  <si>
    <t xml:space="preserve">A_100_seed4</t>
  </si>
  <si>
    <t xml:space="preserve">Z05</t>
  </si>
  <si>
    <t xml:space="preserve">A_100_seed5</t>
  </si>
  <si>
    <t xml:space="preserve">Z07</t>
  </si>
  <si>
    <t xml:space="preserve">Z08</t>
  </si>
  <si>
    <t xml:space="preserve">A_50_seed1</t>
  </si>
  <si>
    <t xml:space="preserve">Z10</t>
  </si>
  <si>
    <t xml:space="preserve">A_50_seed2</t>
  </si>
  <si>
    <t xml:space="preserve">A_50_seed3</t>
  </si>
  <si>
    <t xml:space="preserve">A_50_seed4</t>
  </si>
  <si>
    <t xml:space="preserve">A_50_seed5</t>
  </si>
  <si>
    <t xml:space="preserve">A_75_seed1</t>
  </si>
  <si>
    <t xml:space="preserve">A_75_seed2</t>
  </si>
  <si>
    <t xml:space="preserve">A_75_seed3</t>
  </si>
  <si>
    <t xml:space="preserve">A_75_seed4</t>
  </si>
  <si>
    <t xml:space="preserve">A_75_seed5</t>
  </si>
  <si>
    <t xml:space="preserve">B_100_seed1</t>
  </si>
  <si>
    <t xml:space="preserve">B</t>
  </si>
  <si>
    <t xml:space="preserve">B_100_seed2</t>
  </si>
  <si>
    <t xml:space="preserve">B_100_seed3</t>
  </si>
  <si>
    <t xml:space="preserve">B_100_seed4</t>
  </si>
  <si>
    <t xml:space="preserve">B_100_seed5</t>
  </si>
  <si>
    <t xml:space="preserve">B_50_seed1</t>
  </si>
  <si>
    <t xml:space="preserve">B_50_seed2</t>
  </si>
  <si>
    <t xml:space="preserve">B_50_seed3</t>
  </si>
  <si>
    <t xml:space="preserve">B_50_seed4</t>
  </si>
  <si>
    <t xml:space="preserve">B_50_seed5</t>
  </si>
  <si>
    <t xml:space="preserve">B_75_seed1</t>
  </si>
  <si>
    <t xml:space="preserve">B_75_seed2</t>
  </si>
  <si>
    <t xml:space="preserve">Z02</t>
  </si>
  <si>
    <t xml:space="preserve">B_75_seed3</t>
  </si>
  <si>
    <t xml:space="preserve">B_75_seed4</t>
  </si>
  <si>
    <t xml:space="preserve">B_75_seed5</t>
  </si>
  <si>
    <t xml:space="preserve">Z09</t>
  </si>
  <si>
    <t xml:space="preserve">analysis_interval_s</t>
  </si>
  <si>
    <t xml:space="preserve">data_source</t>
  </si>
  <si>
    <t xml:space="preserve">total_evacuation_time_s</t>
  </si>
  <si>
    <t xml:space="preserve">OP1_detected</t>
  </si>
  <si>
    <t xml:space="preserve">OP2_detected</t>
  </si>
  <si>
    <t xml:space="preserve">transition_n_bins</t>
  </si>
  <si>
    <t xml:space="preserve">fcd</t>
  </si>
  <si>
    <t xml:space="preserve">True</t>
  </si>
  <si>
    <t xml:space="preserve">n_runs</t>
  </si>
  <si>
    <t xml:space="preserve">delta_t_OP1_OP2_mean</t>
  </si>
  <si>
    <t xml:space="preserve">delta_t_OP1_OP2_std</t>
  </si>
  <si>
    <t xml:space="preserve">evac_mean</t>
  </si>
  <si>
    <t xml:space="preserve">evac_std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</si>
</sst>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100</v>
      </c>
      <c r="D2" s="3" t="n">
        <v>1</v>
      </c>
      <c r="E2" s="4" t="n">
        <v>13</v>
      </c>
      <c r="F2" s="2" t="s">
        <v>12</v>
      </c>
      <c r="G2" s="4" t="n">
        <v>119</v>
      </c>
      <c r="H2" s="2" t="s">
        <v>13</v>
      </c>
      <c r="I2" s="4" t="n">
        <v>106</v>
      </c>
      <c r="J2" s="2" t="s">
        <v>14</v>
      </c>
    </row>
    <row r="3" customFormat="false" ht="15" hidden="false" customHeight="false" outlineLevel="0" collapsed="false">
      <c r="A3" s="2" t="s">
        <v>15</v>
      </c>
      <c r="B3" s="2" t="s">
        <v>11</v>
      </c>
      <c r="C3" s="3" t="n">
        <v>100</v>
      </c>
      <c r="D3" s="3" t="n">
        <v>2</v>
      </c>
      <c r="E3" s="4" t="n">
        <v>11</v>
      </c>
      <c r="F3" s="2" t="s">
        <v>16</v>
      </c>
      <c r="G3" s="4" t="n">
        <v>105</v>
      </c>
      <c r="H3" s="2" t="s">
        <v>17</v>
      </c>
      <c r="I3" s="4" t="n">
        <v>94</v>
      </c>
      <c r="J3" s="2" t="s">
        <v>14</v>
      </c>
    </row>
    <row r="4" customFormat="false" ht="15" hidden="false" customHeight="false" outlineLevel="0" collapsed="false">
      <c r="A4" s="2" t="s">
        <v>18</v>
      </c>
      <c r="B4" s="2" t="s">
        <v>11</v>
      </c>
      <c r="C4" s="3" t="n">
        <v>100</v>
      </c>
      <c r="D4" s="3" t="n">
        <v>3</v>
      </c>
      <c r="E4" s="4" t="n">
        <v>11</v>
      </c>
      <c r="F4" s="2" t="s">
        <v>16</v>
      </c>
      <c r="G4" s="4" t="n">
        <v>95</v>
      </c>
      <c r="H4" s="2" t="s">
        <v>17</v>
      </c>
      <c r="I4" s="4" t="n">
        <v>84</v>
      </c>
      <c r="J4" s="2" t="s">
        <v>14</v>
      </c>
    </row>
    <row r="5" customFormat="false" ht="15" hidden="false" customHeight="false" outlineLevel="0" collapsed="false">
      <c r="A5" s="2" t="s">
        <v>19</v>
      </c>
      <c r="B5" s="2" t="s">
        <v>11</v>
      </c>
      <c r="C5" s="3" t="n">
        <v>100</v>
      </c>
      <c r="D5" s="3" t="n">
        <v>4</v>
      </c>
      <c r="E5" s="4" t="n">
        <v>13</v>
      </c>
      <c r="F5" s="2" t="s">
        <v>20</v>
      </c>
      <c r="G5" s="4" t="n">
        <v>17</v>
      </c>
      <c r="H5" s="2" t="s">
        <v>16</v>
      </c>
      <c r="I5" s="4" t="n">
        <v>4</v>
      </c>
      <c r="J5" s="2" t="s">
        <v>14</v>
      </c>
    </row>
    <row r="6" customFormat="false" ht="15" hidden="false" customHeight="false" outlineLevel="0" collapsed="false">
      <c r="A6" s="2" t="s">
        <v>21</v>
      </c>
      <c r="B6" s="2" t="s">
        <v>11</v>
      </c>
      <c r="C6" s="3" t="n">
        <v>100</v>
      </c>
      <c r="D6" s="3" t="n">
        <v>5</v>
      </c>
      <c r="E6" s="4" t="n">
        <v>10</v>
      </c>
      <c r="F6" s="2" t="s">
        <v>22</v>
      </c>
      <c r="G6" s="4" t="n">
        <v>108</v>
      </c>
      <c r="H6" s="2" t="s">
        <v>23</v>
      </c>
      <c r="I6" s="4" t="n">
        <v>98</v>
      </c>
      <c r="J6" s="2" t="s">
        <v>14</v>
      </c>
    </row>
    <row r="7" customFormat="false" ht="15" hidden="false" customHeight="false" outlineLevel="0" collapsed="false">
      <c r="A7" s="2" t="s">
        <v>24</v>
      </c>
      <c r="B7" s="2" t="s">
        <v>11</v>
      </c>
      <c r="C7" s="3" t="n">
        <v>50</v>
      </c>
      <c r="D7" s="3" t="n">
        <v>1</v>
      </c>
      <c r="E7" s="4" t="n">
        <v>14</v>
      </c>
      <c r="F7" s="2" t="s">
        <v>22</v>
      </c>
      <c r="G7" s="4" t="n">
        <v>77</v>
      </c>
      <c r="H7" s="2" t="s">
        <v>25</v>
      </c>
      <c r="I7" s="4" t="n">
        <v>63</v>
      </c>
      <c r="J7" s="2" t="s">
        <v>14</v>
      </c>
    </row>
    <row r="8" customFormat="false" ht="15" hidden="false" customHeight="false" outlineLevel="0" collapsed="false">
      <c r="A8" s="2" t="s">
        <v>26</v>
      </c>
      <c r="B8" s="2" t="s">
        <v>11</v>
      </c>
      <c r="C8" s="3" t="n">
        <v>50</v>
      </c>
      <c r="D8" s="3" t="n">
        <v>2</v>
      </c>
      <c r="E8" s="4" t="n">
        <v>14</v>
      </c>
      <c r="F8" s="2" t="s">
        <v>22</v>
      </c>
      <c r="G8" s="4" t="n">
        <v>76</v>
      </c>
      <c r="H8" s="2" t="s">
        <v>25</v>
      </c>
      <c r="I8" s="4" t="n">
        <v>62</v>
      </c>
      <c r="J8" s="2" t="s">
        <v>14</v>
      </c>
    </row>
    <row r="9" customFormat="false" ht="15" hidden="false" customHeight="false" outlineLevel="0" collapsed="false">
      <c r="A9" s="2" t="s">
        <v>27</v>
      </c>
      <c r="B9" s="2" t="s">
        <v>11</v>
      </c>
      <c r="C9" s="3" t="n">
        <v>50</v>
      </c>
      <c r="D9" s="3" t="n">
        <v>3</v>
      </c>
      <c r="E9" s="4" t="n">
        <v>12</v>
      </c>
      <c r="F9" s="2" t="s">
        <v>20</v>
      </c>
      <c r="G9" s="4" t="n">
        <v>85</v>
      </c>
      <c r="H9" s="2" t="s">
        <v>25</v>
      </c>
      <c r="I9" s="4" t="n">
        <v>73</v>
      </c>
      <c r="J9" s="2" t="s">
        <v>14</v>
      </c>
    </row>
    <row r="10" customFormat="false" ht="15" hidden="false" customHeight="false" outlineLevel="0" collapsed="false">
      <c r="A10" s="2" t="s">
        <v>28</v>
      </c>
      <c r="B10" s="2" t="s">
        <v>11</v>
      </c>
      <c r="C10" s="3" t="n">
        <v>50</v>
      </c>
      <c r="D10" s="3" t="n">
        <v>4</v>
      </c>
      <c r="E10" s="4" t="n">
        <v>15</v>
      </c>
      <c r="F10" s="2" t="s">
        <v>16</v>
      </c>
      <c r="G10" s="4" t="n">
        <v>136</v>
      </c>
      <c r="H10" s="2" t="s">
        <v>17</v>
      </c>
      <c r="I10" s="4" t="n">
        <v>121</v>
      </c>
      <c r="J10" s="2" t="s">
        <v>14</v>
      </c>
    </row>
    <row r="11" customFormat="false" ht="15" hidden="false" customHeight="false" outlineLevel="0" collapsed="false">
      <c r="A11" s="2" t="s">
        <v>29</v>
      </c>
      <c r="B11" s="2" t="s">
        <v>11</v>
      </c>
      <c r="C11" s="3" t="n">
        <v>50</v>
      </c>
      <c r="D11" s="3" t="n">
        <v>5</v>
      </c>
      <c r="E11" s="4" t="n">
        <v>15</v>
      </c>
      <c r="F11" s="2" t="s">
        <v>16</v>
      </c>
      <c r="G11" s="4" t="n">
        <v>93</v>
      </c>
      <c r="H11" s="2" t="s">
        <v>25</v>
      </c>
      <c r="I11" s="4" t="n">
        <v>78</v>
      </c>
      <c r="J11" s="2" t="s">
        <v>14</v>
      </c>
    </row>
    <row r="12" customFormat="false" ht="15" hidden="false" customHeight="false" outlineLevel="0" collapsed="false">
      <c r="A12" s="2" t="s">
        <v>30</v>
      </c>
      <c r="B12" s="2" t="s">
        <v>11</v>
      </c>
      <c r="C12" s="3" t="n">
        <v>75</v>
      </c>
      <c r="D12" s="3" t="n">
        <v>1</v>
      </c>
      <c r="E12" s="4" t="n">
        <v>12</v>
      </c>
      <c r="F12" s="2" t="s">
        <v>22</v>
      </c>
      <c r="G12" s="4" t="n">
        <v>81</v>
      </c>
      <c r="H12" s="2" t="s">
        <v>25</v>
      </c>
      <c r="I12" s="4" t="n">
        <v>69</v>
      </c>
      <c r="J12" s="2" t="s">
        <v>14</v>
      </c>
    </row>
    <row r="13" customFormat="false" ht="15" hidden="false" customHeight="false" outlineLevel="0" collapsed="false">
      <c r="A13" s="2" t="s">
        <v>31</v>
      </c>
      <c r="B13" s="2" t="s">
        <v>11</v>
      </c>
      <c r="C13" s="3" t="n">
        <v>75</v>
      </c>
      <c r="D13" s="3" t="n">
        <v>2</v>
      </c>
      <c r="E13" s="4" t="n">
        <v>11</v>
      </c>
      <c r="F13" s="2" t="s">
        <v>22</v>
      </c>
      <c r="G13" s="4" t="n">
        <v>92</v>
      </c>
      <c r="H13" s="2" t="s">
        <v>17</v>
      </c>
      <c r="I13" s="4" t="n">
        <v>81</v>
      </c>
      <c r="J13" s="2" t="s">
        <v>14</v>
      </c>
    </row>
    <row r="14" customFormat="false" ht="15" hidden="false" customHeight="false" outlineLevel="0" collapsed="false">
      <c r="A14" s="2" t="s">
        <v>32</v>
      </c>
      <c r="B14" s="2" t="s">
        <v>11</v>
      </c>
      <c r="C14" s="3" t="n">
        <v>75</v>
      </c>
      <c r="D14" s="3" t="n">
        <v>3</v>
      </c>
      <c r="E14" s="4" t="n">
        <v>10</v>
      </c>
      <c r="F14" s="2" t="s">
        <v>16</v>
      </c>
      <c r="G14" s="4" t="n">
        <v>97</v>
      </c>
      <c r="H14" s="2" t="s">
        <v>17</v>
      </c>
      <c r="I14" s="4" t="n">
        <v>87</v>
      </c>
      <c r="J14" s="2" t="s">
        <v>14</v>
      </c>
    </row>
    <row r="15" customFormat="false" ht="15" hidden="false" customHeight="false" outlineLevel="0" collapsed="false">
      <c r="A15" s="2" t="s">
        <v>33</v>
      </c>
      <c r="B15" s="2" t="s">
        <v>11</v>
      </c>
      <c r="C15" s="3" t="n">
        <v>75</v>
      </c>
      <c r="D15" s="3" t="n">
        <v>4</v>
      </c>
      <c r="E15" s="4" t="n">
        <v>11</v>
      </c>
      <c r="F15" s="2" t="s">
        <v>16</v>
      </c>
      <c r="G15" s="4" t="n">
        <v>81</v>
      </c>
      <c r="H15" s="2" t="s">
        <v>17</v>
      </c>
      <c r="I15" s="4" t="n">
        <v>70</v>
      </c>
      <c r="J15" s="2" t="s">
        <v>14</v>
      </c>
    </row>
    <row r="16" customFormat="false" ht="15" hidden="false" customHeight="false" outlineLevel="0" collapsed="false">
      <c r="A16" s="2" t="s">
        <v>34</v>
      </c>
      <c r="B16" s="2" t="s">
        <v>11</v>
      </c>
      <c r="C16" s="3" t="n">
        <v>75</v>
      </c>
      <c r="D16" s="3" t="n">
        <v>5</v>
      </c>
      <c r="E16" s="4" t="n">
        <v>12</v>
      </c>
      <c r="F16" s="2" t="s">
        <v>22</v>
      </c>
      <c r="G16" s="4" t="n">
        <v>113</v>
      </c>
      <c r="H16" s="2" t="s">
        <v>17</v>
      </c>
      <c r="I16" s="4" t="n">
        <v>101</v>
      </c>
      <c r="J16" s="2" t="s">
        <v>14</v>
      </c>
    </row>
    <row r="17" customFormat="false" ht="15" hidden="false" customHeight="false" outlineLevel="0" collapsed="false">
      <c r="A17" s="2" t="s">
        <v>35</v>
      </c>
      <c r="B17" s="2" t="s">
        <v>36</v>
      </c>
      <c r="C17" s="3" t="n">
        <v>100</v>
      </c>
      <c r="D17" s="3" t="n">
        <v>1</v>
      </c>
      <c r="E17" s="4" t="n">
        <v>40</v>
      </c>
      <c r="F17" s="2" t="s">
        <v>12</v>
      </c>
      <c r="G17" s="4" t="n">
        <v>165</v>
      </c>
      <c r="H17" s="2" t="s">
        <v>13</v>
      </c>
      <c r="I17" s="4" t="n">
        <v>125</v>
      </c>
      <c r="J17" s="2" t="s">
        <v>14</v>
      </c>
    </row>
    <row r="18" customFormat="false" ht="15" hidden="false" customHeight="false" outlineLevel="0" collapsed="false">
      <c r="A18" s="2" t="s">
        <v>37</v>
      </c>
      <c r="B18" s="2" t="s">
        <v>36</v>
      </c>
      <c r="C18" s="3" t="n">
        <v>100</v>
      </c>
      <c r="D18" s="3" t="n">
        <v>2</v>
      </c>
      <c r="E18" s="4" t="n">
        <v>37</v>
      </c>
      <c r="F18" s="2" t="s">
        <v>12</v>
      </c>
      <c r="G18" s="4" t="n">
        <v>136</v>
      </c>
      <c r="H18" s="2" t="s">
        <v>23</v>
      </c>
      <c r="I18" s="4" t="n">
        <v>99</v>
      </c>
      <c r="J18" s="2" t="s">
        <v>14</v>
      </c>
    </row>
    <row r="19" customFormat="false" ht="15" hidden="false" customHeight="false" outlineLevel="0" collapsed="false">
      <c r="A19" s="2" t="s">
        <v>38</v>
      </c>
      <c r="B19" s="2" t="s">
        <v>36</v>
      </c>
      <c r="C19" s="3" t="n">
        <v>100</v>
      </c>
      <c r="D19" s="3" t="n">
        <v>3</v>
      </c>
      <c r="E19" s="4" t="n">
        <v>37</v>
      </c>
      <c r="F19" s="2" t="s">
        <v>22</v>
      </c>
      <c r="G19" s="4" t="n">
        <v>114</v>
      </c>
      <c r="H19" s="2" t="s">
        <v>17</v>
      </c>
      <c r="I19" s="4" t="n">
        <v>77</v>
      </c>
      <c r="J19" s="2" t="s">
        <v>14</v>
      </c>
    </row>
    <row r="20" customFormat="false" ht="15" hidden="false" customHeight="false" outlineLevel="0" collapsed="false">
      <c r="A20" s="2" t="s">
        <v>39</v>
      </c>
      <c r="B20" s="2" t="s">
        <v>36</v>
      </c>
      <c r="C20" s="3" t="n">
        <v>100</v>
      </c>
      <c r="D20" s="3" t="n">
        <v>4</v>
      </c>
      <c r="E20" s="4" t="n">
        <v>36</v>
      </c>
      <c r="F20" s="2" t="s">
        <v>20</v>
      </c>
      <c r="G20" s="4" t="n">
        <v>73</v>
      </c>
      <c r="H20" s="2" t="s">
        <v>12</v>
      </c>
      <c r="I20" s="4" t="n">
        <v>37</v>
      </c>
      <c r="J20" s="2" t="s">
        <v>14</v>
      </c>
    </row>
    <row r="21" customFormat="false" ht="15" hidden="false" customHeight="false" outlineLevel="0" collapsed="false">
      <c r="A21" s="2" t="s">
        <v>40</v>
      </c>
      <c r="B21" s="2" t="s">
        <v>36</v>
      </c>
      <c r="C21" s="3" t="n">
        <v>100</v>
      </c>
      <c r="D21" s="3" t="n">
        <v>5</v>
      </c>
      <c r="E21" s="4" t="n">
        <v>19</v>
      </c>
      <c r="F21" s="2" t="s">
        <v>22</v>
      </c>
      <c r="G21" s="4" t="n">
        <v>121</v>
      </c>
      <c r="H21" s="2" t="s">
        <v>17</v>
      </c>
      <c r="I21" s="4" t="n">
        <v>102</v>
      </c>
      <c r="J21" s="2" t="s">
        <v>14</v>
      </c>
    </row>
    <row r="22" customFormat="false" ht="15" hidden="false" customHeight="false" outlineLevel="0" collapsed="false">
      <c r="A22" s="2" t="s">
        <v>41</v>
      </c>
      <c r="B22" s="2" t="s">
        <v>36</v>
      </c>
      <c r="C22" s="3" t="n">
        <v>50</v>
      </c>
      <c r="D22" s="3" t="n">
        <v>1</v>
      </c>
      <c r="E22" s="4" t="n">
        <v>41</v>
      </c>
      <c r="F22" s="2" t="s">
        <v>20</v>
      </c>
      <c r="G22" s="4" t="n">
        <v>137</v>
      </c>
      <c r="H22" s="2" t="s">
        <v>17</v>
      </c>
      <c r="I22" s="4" t="n">
        <v>96</v>
      </c>
      <c r="J22" s="2" t="s">
        <v>14</v>
      </c>
    </row>
    <row r="23" customFormat="false" ht="15" hidden="false" customHeight="false" outlineLevel="0" collapsed="false">
      <c r="A23" s="2" t="s">
        <v>42</v>
      </c>
      <c r="B23" s="2" t="s">
        <v>36</v>
      </c>
      <c r="C23" s="3" t="n">
        <v>50</v>
      </c>
      <c r="D23" s="3" t="n">
        <v>2</v>
      </c>
      <c r="E23" s="4" t="n">
        <v>41</v>
      </c>
      <c r="F23" s="2" t="s">
        <v>22</v>
      </c>
      <c r="G23" s="4" t="n">
        <v>109</v>
      </c>
      <c r="H23" s="2" t="s">
        <v>25</v>
      </c>
      <c r="I23" s="4" t="n">
        <v>68</v>
      </c>
      <c r="J23" s="2" t="s">
        <v>14</v>
      </c>
    </row>
    <row r="24" customFormat="false" ht="15" hidden="false" customHeight="false" outlineLevel="0" collapsed="false">
      <c r="A24" s="2" t="s">
        <v>43</v>
      </c>
      <c r="B24" s="2" t="s">
        <v>36</v>
      </c>
      <c r="C24" s="3" t="n">
        <v>50</v>
      </c>
      <c r="D24" s="3" t="n">
        <v>3</v>
      </c>
      <c r="E24" s="4" t="n">
        <v>25</v>
      </c>
      <c r="F24" s="2" t="s">
        <v>20</v>
      </c>
      <c r="G24" s="4" t="n">
        <v>124</v>
      </c>
      <c r="H24" s="2" t="s">
        <v>25</v>
      </c>
      <c r="I24" s="4" t="n">
        <v>99</v>
      </c>
      <c r="J24" s="2" t="s">
        <v>14</v>
      </c>
    </row>
    <row r="25" customFormat="false" ht="15" hidden="false" customHeight="false" outlineLevel="0" collapsed="false">
      <c r="A25" s="2" t="s">
        <v>44</v>
      </c>
      <c r="B25" s="2" t="s">
        <v>36</v>
      </c>
      <c r="C25" s="3" t="n">
        <v>50</v>
      </c>
      <c r="D25" s="3" t="n">
        <v>4</v>
      </c>
      <c r="E25" s="4" t="n">
        <v>36</v>
      </c>
      <c r="F25" s="2" t="s">
        <v>16</v>
      </c>
      <c r="G25" s="4" t="n">
        <v>134</v>
      </c>
      <c r="H25" s="2" t="s">
        <v>17</v>
      </c>
      <c r="I25" s="4" t="n">
        <v>98</v>
      </c>
      <c r="J25" s="2" t="s">
        <v>14</v>
      </c>
    </row>
    <row r="26" customFormat="false" ht="15" hidden="false" customHeight="false" outlineLevel="0" collapsed="false">
      <c r="A26" s="2" t="s">
        <v>45</v>
      </c>
      <c r="B26" s="2" t="s">
        <v>36</v>
      </c>
      <c r="C26" s="3" t="n">
        <v>50</v>
      </c>
      <c r="D26" s="3" t="n">
        <v>5</v>
      </c>
      <c r="E26" s="4" t="n">
        <v>40</v>
      </c>
      <c r="F26" s="2" t="s">
        <v>22</v>
      </c>
      <c r="G26" s="4" t="n">
        <v>131</v>
      </c>
      <c r="H26" s="2" t="s">
        <v>25</v>
      </c>
      <c r="I26" s="4" t="n">
        <v>91</v>
      </c>
      <c r="J26" s="2" t="s">
        <v>14</v>
      </c>
    </row>
    <row r="27" customFormat="false" ht="15" hidden="false" customHeight="false" outlineLevel="0" collapsed="false">
      <c r="A27" s="2" t="s">
        <v>46</v>
      </c>
      <c r="B27" s="2" t="s">
        <v>36</v>
      </c>
      <c r="C27" s="3" t="n">
        <v>75</v>
      </c>
      <c r="D27" s="3" t="n">
        <v>1</v>
      </c>
      <c r="E27" s="4" t="n">
        <v>25</v>
      </c>
      <c r="F27" s="2" t="s">
        <v>22</v>
      </c>
      <c r="G27" s="4" t="n">
        <v>106</v>
      </c>
      <c r="H27" s="2" t="s">
        <v>25</v>
      </c>
      <c r="I27" s="4" t="n">
        <v>81</v>
      </c>
      <c r="J27" s="2" t="s">
        <v>14</v>
      </c>
    </row>
    <row r="28" customFormat="false" ht="15" hidden="false" customHeight="false" outlineLevel="0" collapsed="false">
      <c r="A28" s="2" t="s">
        <v>47</v>
      </c>
      <c r="B28" s="2" t="s">
        <v>36</v>
      </c>
      <c r="C28" s="3" t="n">
        <v>75</v>
      </c>
      <c r="D28" s="3" t="n">
        <v>2</v>
      </c>
      <c r="E28" s="4" t="n">
        <v>38</v>
      </c>
      <c r="F28" s="2" t="s">
        <v>48</v>
      </c>
      <c r="G28" s="4" t="n">
        <v>121</v>
      </c>
      <c r="H28" s="2" t="s">
        <v>17</v>
      </c>
      <c r="I28" s="4" t="n">
        <v>83</v>
      </c>
      <c r="J28" s="2" t="s">
        <v>14</v>
      </c>
    </row>
    <row r="29" customFormat="false" ht="15" hidden="false" customHeight="false" outlineLevel="0" collapsed="false">
      <c r="A29" s="2" t="s">
        <v>49</v>
      </c>
      <c r="B29" s="2" t="s">
        <v>36</v>
      </c>
      <c r="C29" s="3" t="n">
        <v>75</v>
      </c>
      <c r="D29" s="3" t="n">
        <v>3</v>
      </c>
      <c r="E29" s="4" t="n">
        <v>34</v>
      </c>
      <c r="F29" s="2" t="s">
        <v>48</v>
      </c>
      <c r="G29" s="4" t="n">
        <v>115</v>
      </c>
      <c r="H29" s="2" t="s">
        <v>12</v>
      </c>
      <c r="I29" s="4" t="n">
        <v>81</v>
      </c>
      <c r="J29" s="2" t="s">
        <v>14</v>
      </c>
    </row>
    <row r="30" customFormat="false" ht="15" hidden="false" customHeight="false" outlineLevel="0" collapsed="false">
      <c r="A30" s="2" t="s">
        <v>50</v>
      </c>
      <c r="B30" s="2" t="s">
        <v>36</v>
      </c>
      <c r="C30" s="3" t="n">
        <v>75</v>
      </c>
      <c r="D30" s="3" t="n">
        <v>4</v>
      </c>
      <c r="E30" s="4" t="n">
        <v>34</v>
      </c>
      <c r="F30" s="2" t="s">
        <v>16</v>
      </c>
      <c r="G30" s="4" t="n">
        <v>112</v>
      </c>
      <c r="H30" s="2" t="s">
        <v>25</v>
      </c>
      <c r="I30" s="4" t="n">
        <v>78</v>
      </c>
      <c r="J30" s="2" t="s">
        <v>14</v>
      </c>
    </row>
    <row r="31" customFormat="false" ht="15" hidden="false" customHeight="false" outlineLevel="0" collapsed="false">
      <c r="A31" s="2" t="s">
        <v>51</v>
      </c>
      <c r="B31" s="2" t="s">
        <v>36</v>
      </c>
      <c r="C31" s="3" t="n">
        <v>75</v>
      </c>
      <c r="D31" s="3" t="n">
        <v>5</v>
      </c>
      <c r="E31" s="4" t="n">
        <v>31</v>
      </c>
      <c r="F31" s="2" t="s">
        <v>22</v>
      </c>
      <c r="G31" s="4" t="n">
        <v>131</v>
      </c>
      <c r="H31" s="2" t="s">
        <v>52</v>
      </c>
      <c r="I31" s="4" t="n">
        <v>100</v>
      </c>
      <c r="J31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4</v>
      </c>
      <c r="J1" s="1" t="s">
        <v>57</v>
      </c>
      <c r="K1" s="1" t="s">
        <v>6</v>
      </c>
      <c r="L1" s="1" t="s">
        <v>8</v>
      </c>
      <c r="M1" s="1" t="s">
        <v>58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100</v>
      </c>
      <c r="D2" s="3" t="n">
        <v>1</v>
      </c>
      <c r="E2" s="4" t="n">
        <v>1</v>
      </c>
      <c r="F2" s="2" t="s">
        <v>59</v>
      </c>
      <c r="G2" s="4" t="n">
        <v>582</v>
      </c>
      <c r="H2" s="2" t="s">
        <v>60</v>
      </c>
      <c r="I2" s="4" t="n">
        <v>13</v>
      </c>
      <c r="J2" s="2" t="s">
        <v>60</v>
      </c>
      <c r="K2" s="4" t="n">
        <v>119</v>
      </c>
      <c r="L2" s="4" t="n">
        <v>106</v>
      </c>
      <c r="M2" s="3" t="n">
        <v>423</v>
      </c>
    </row>
    <row r="3" customFormat="false" ht="15" hidden="false" customHeight="false" outlineLevel="0" collapsed="false">
      <c r="A3" s="2" t="s">
        <v>15</v>
      </c>
      <c r="B3" s="2" t="s">
        <v>11</v>
      </c>
      <c r="C3" s="3" t="n">
        <v>100</v>
      </c>
      <c r="D3" s="3" t="n">
        <v>2</v>
      </c>
      <c r="E3" s="4" t="n">
        <v>1</v>
      </c>
      <c r="F3" s="2" t="s">
        <v>59</v>
      </c>
      <c r="G3" s="4" t="n">
        <v>347</v>
      </c>
      <c r="H3" s="2" t="s">
        <v>60</v>
      </c>
      <c r="I3" s="4" t="n">
        <v>11</v>
      </c>
      <c r="J3" s="2" t="s">
        <v>60</v>
      </c>
      <c r="K3" s="4" t="n">
        <v>105</v>
      </c>
      <c r="L3" s="4" t="n">
        <v>94</v>
      </c>
      <c r="M3" s="3" t="n">
        <v>339</v>
      </c>
    </row>
    <row r="4" customFormat="false" ht="15" hidden="false" customHeight="false" outlineLevel="0" collapsed="false">
      <c r="A4" s="2" t="s">
        <v>18</v>
      </c>
      <c r="B4" s="2" t="s">
        <v>11</v>
      </c>
      <c r="C4" s="3" t="n">
        <v>100</v>
      </c>
      <c r="D4" s="3" t="n">
        <v>3</v>
      </c>
      <c r="E4" s="4" t="n">
        <v>1</v>
      </c>
      <c r="F4" s="2" t="s">
        <v>59</v>
      </c>
      <c r="G4" s="4" t="n">
        <v>339</v>
      </c>
      <c r="H4" s="2" t="s">
        <v>60</v>
      </c>
      <c r="I4" s="4" t="n">
        <v>11</v>
      </c>
      <c r="J4" s="2" t="s">
        <v>60</v>
      </c>
      <c r="K4" s="4" t="n">
        <v>95</v>
      </c>
      <c r="L4" s="4" t="n">
        <v>84</v>
      </c>
      <c r="M4" s="3" t="n">
        <v>272</v>
      </c>
    </row>
    <row r="5" customFormat="false" ht="15" hidden="false" customHeight="false" outlineLevel="0" collapsed="false">
      <c r="A5" s="2" t="s">
        <v>19</v>
      </c>
      <c r="B5" s="2" t="s">
        <v>11</v>
      </c>
      <c r="C5" s="3" t="n">
        <v>100</v>
      </c>
      <c r="D5" s="3" t="n">
        <v>4</v>
      </c>
      <c r="E5" s="4" t="n">
        <v>1</v>
      </c>
      <c r="F5" s="2" t="s">
        <v>59</v>
      </c>
      <c r="G5" s="4" t="n">
        <v>624</v>
      </c>
      <c r="H5" s="2" t="s">
        <v>60</v>
      </c>
      <c r="I5" s="4" t="n">
        <v>13</v>
      </c>
      <c r="J5" s="2" t="s">
        <v>60</v>
      </c>
      <c r="K5" s="4" t="n">
        <v>17</v>
      </c>
      <c r="L5" s="4" t="n">
        <v>4</v>
      </c>
      <c r="M5" s="3" t="n">
        <v>8</v>
      </c>
    </row>
    <row r="6" customFormat="false" ht="15" hidden="false" customHeight="false" outlineLevel="0" collapsed="false">
      <c r="A6" s="2" t="s">
        <v>21</v>
      </c>
      <c r="B6" s="2" t="s">
        <v>11</v>
      </c>
      <c r="C6" s="3" t="n">
        <v>100</v>
      </c>
      <c r="D6" s="3" t="n">
        <v>5</v>
      </c>
      <c r="E6" s="4" t="n">
        <v>1</v>
      </c>
      <c r="F6" s="2" t="s">
        <v>59</v>
      </c>
      <c r="G6" s="4" t="n">
        <v>597</v>
      </c>
      <c r="H6" s="2" t="s">
        <v>60</v>
      </c>
      <c r="I6" s="4" t="n">
        <v>10</v>
      </c>
      <c r="J6" s="2" t="s">
        <v>60</v>
      </c>
      <c r="K6" s="4" t="n">
        <v>108</v>
      </c>
      <c r="L6" s="4" t="n">
        <v>98</v>
      </c>
      <c r="M6" s="3" t="n">
        <v>341</v>
      </c>
    </row>
    <row r="7" customFormat="false" ht="15" hidden="false" customHeight="false" outlineLevel="0" collapsed="false">
      <c r="A7" s="2" t="s">
        <v>24</v>
      </c>
      <c r="B7" s="2" t="s">
        <v>11</v>
      </c>
      <c r="C7" s="3" t="n">
        <v>50</v>
      </c>
      <c r="D7" s="3" t="n">
        <v>1</v>
      </c>
      <c r="E7" s="4" t="n">
        <v>1</v>
      </c>
      <c r="F7" s="2" t="s">
        <v>59</v>
      </c>
      <c r="G7" s="4" t="n">
        <v>310</v>
      </c>
      <c r="H7" s="2" t="s">
        <v>60</v>
      </c>
      <c r="I7" s="4" t="n">
        <v>14</v>
      </c>
      <c r="J7" s="2" t="s">
        <v>60</v>
      </c>
      <c r="K7" s="4" t="n">
        <v>77</v>
      </c>
      <c r="L7" s="4" t="n">
        <v>63</v>
      </c>
      <c r="M7" s="3" t="n">
        <v>202</v>
      </c>
    </row>
    <row r="8" customFormat="false" ht="15" hidden="false" customHeight="false" outlineLevel="0" collapsed="false">
      <c r="A8" s="2" t="s">
        <v>26</v>
      </c>
      <c r="B8" s="2" t="s">
        <v>11</v>
      </c>
      <c r="C8" s="3" t="n">
        <v>50</v>
      </c>
      <c r="D8" s="3" t="n">
        <v>2</v>
      </c>
      <c r="E8" s="4" t="n">
        <v>1</v>
      </c>
      <c r="F8" s="2" t="s">
        <v>59</v>
      </c>
      <c r="G8" s="4" t="n">
        <v>291</v>
      </c>
      <c r="H8" s="2" t="s">
        <v>60</v>
      </c>
      <c r="I8" s="4" t="n">
        <v>14</v>
      </c>
      <c r="J8" s="2" t="s">
        <v>60</v>
      </c>
      <c r="K8" s="4" t="n">
        <v>76</v>
      </c>
      <c r="L8" s="4" t="n">
        <v>62</v>
      </c>
      <c r="M8" s="3" t="n">
        <v>178</v>
      </c>
    </row>
    <row r="9" customFormat="false" ht="15" hidden="false" customHeight="false" outlineLevel="0" collapsed="false">
      <c r="A9" s="2" t="s">
        <v>27</v>
      </c>
      <c r="B9" s="2" t="s">
        <v>11</v>
      </c>
      <c r="C9" s="3" t="n">
        <v>50</v>
      </c>
      <c r="D9" s="3" t="n">
        <v>3</v>
      </c>
      <c r="E9" s="4" t="n">
        <v>1</v>
      </c>
      <c r="F9" s="2" t="s">
        <v>59</v>
      </c>
      <c r="G9" s="4" t="n">
        <v>293</v>
      </c>
      <c r="H9" s="2" t="s">
        <v>60</v>
      </c>
      <c r="I9" s="4" t="n">
        <v>12</v>
      </c>
      <c r="J9" s="2" t="s">
        <v>60</v>
      </c>
      <c r="K9" s="4" t="n">
        <v>85</v>
      </c>
      <c r="L9" s="4" t="n">
        <v>73</v>
      </c>
      <c r="M9" s="3" t="n">
        <v>212</v>
      </c>
    </row>
    <row r="10" customFormat="false" ht="15" hidden="false" customHeight="false" outlineLevel="0" collapsed="false">
      <c r="A10" s="2" t="s">
        <v>28</v>
      </c>
      <c r="B10" s="2" t="s">
        <v>11</v>
      </c>
      <c r="C10" s="3" t="n">
        <v>50</v>
      </c>
      <c r="D10" s="3" t="n">
        <v>4</v>
      </c>
      <c r="E10" s="4" t="n">
        <v>1</v>
      </c>
      <c r="F10" s="2" t="s">
        <v>59</v>
      </c>
      <c r="G10" s="4" t="n">
        <v>277</v>
      </c>
      <c r="H10" s="2" t="s">
        <v>60</v>
      </c>
      <c r="I10" s="4" t="n">
        <v>15</v>
      </c>
      <c r="J10" s="2" t="s">
        <v>60</v>
      </c>
      <c r="K10" s="4" t="n">
        <v>136</v>
      </c>
      <c r="L10" s="4" t="n">
        <v>121</v>
      </c>
      <c r="M10" s="3" t="n">
        <v>374</v>
      </c>
    </row>
    <row r="11" customFormat="false" ht="15" hidden="false" customHeight="false" outlineLevel="0" collapsed="false">
      <c r="A11" s="2" t="s">
        <v>29</v>
      </c>
      <c r="B11" s="2" t="s">
        <v>11</v>
      </c>
      <c r="C11" s="3" t="n">
        <v>50</v>
      </c>
      <c r="D11" s="3" t="n">
        <v>5</v>
      </c>
      <c r="E11" s="4" t="n">
        <v>1</v>
      </c>
      <c r="F11" s="2" t="s">
        <v>59</v>
      </c>
      <c r="G11" s="4" t="n">
        <v>285</v>
      </c>
      <c r="H11" s="2" t="s">
        <v>60</v>
      </c>
      <c r="I11" s="4" t="n">
        <v>15</v>
      </c>
      <c r="J11" s="2" t="s">
        <v>60</v>
      </c>
      <c r="K11" s="4" t="n">
        <v>93</v>
      </c>
      <c r="L11" s="4" t="n">
        <v>78</v>
      </c>
      <c r="M11" s="3" t="n">
        <v>265</v>
      </c>
    </row>
    <row r="12" customFormat="false" ht="15" hidden="false" customHeight="false" outlineLevel="0" collapsed="false">
      <c r="A12" s="2" t="s">
        <v>30</v>
      </c>
      <c r="B12" s="2" t="s">
        <v>11</v>
      </c>
      <c r="C12" s="3" t="n">
        <v>75</v>
      </c>
      <c r="D12" s="3" t="n">
        <v>1</v>
      </c>
      <c r="E12" s="4" t="n">
        <v>1</v>
      </c>
      <c r="F12" s="2" t="s">
        <v>59</v>
      </c>
      <c r="G12" s="4" t="n">
        <v>295</v>
      </c>
      <c r="H12" s="2" t="s">
        <v>60</v>
      </c>
      <c r="I12" s="4" t="n">
        <v>12</v>
      </c>
      <c r="J12" s="2" t="s">
        <v>60</v>
      </c>
      <c r="K12" s="4" t="n">
        <v>81</v>
      </c>
      <c r="L12" s="4" t="n">
        <v>69</v>
      </c>
      <c r="M12" s="3" t="n">
        <v>190</v>
      </c>
    </row>
    <row r="13" customFormat="false" ht="15" hidden="false" customHeight="false" outlineLevel="0" collapsed="false">
      <c r="A13" s="2" t="s">
        <v>31</v>
      </c>
      <c r="B13" s="2" t="s">
        <v>11</v>
      </c>
      <c r="C13" s="3" t="n">
        <v>75</v>
      </c>
      <c r="D13" s="3" t="n">
        <v>2</v>
      </c>
      <c r="E13" s="4" t="n">
        <v>1</v>
      </c>
      <c r="F13" s="2" t="s">
        <v>59</v>
      </c>
      <c r="G13" s="4" t="n">
        <v>308</v>
      </c>
      <c r="H13" s="2" t="s">
        <v>60</v>
      </c>
      <c r="I13" s="4" t="n">
        <v>11</v>
      </c>
      <c r="J13" s="2" t="s">
        <v>60</v>
      </c>
      <c r="K13" s="4" t="n">
        <v>92</v>
      </c>
      <c r="L13" s="4" t="n">
        <v>81</v>
      </c>
      <c r="M13" s="3" t="n">
        <v>285</v>
      </c>
    </row>
    <row r="14" customFormat="false" ht="15" hidden="false" customHeight="false" outlineLevel="0" collapsed="false">
      <c r="A14" s="2" t="s">
        <v>32</v>
      </c>
      <c r="B14" s="2" t="s">
        <v>11</v>
      </c>
      <c r="C14" s="3" t="n">
        <v>75</v>
      </c>
      <c r="D14" s="3" t="n">
        <v>3</v>
      </c>
      <c r="E14" s="4" t="n">
        <v>1</v>
      </c>
      <c r="F14" s="2" t="s">
        <v>59</v>
      </c>
      <c r="G14" s="4" t="n">
        <v>303</v>
      </c>
      <c r="H14" s="2" t="s">
        <v>60</v>
      </c>
      <c r="I14" s="4" t="n">
        <v>10</v>
      </c>
      <c r="J14" s="2" t="s">
        <v>60</v>
      </c>
      <c r="K14" s="4" t="n">
        <v>97</v>
      </c>
      <c r="L14" s="4" t="n">
        <v>87</v>
      </c>
      <c r="M14" s="3" t="n">
        <v>301</v>
      </c>
    </row>
    <row r="15" customFormat="false" ht="15" hidden="false" customHeight="false" outlineLevel="0" collapsed="false">
      <c r="A15" s="2" t="s">
        <v>33</v>
      </c>
      <c r="B15" s="2" t="s">
        <v>11</v>
      </c>
      <c r="C15" s="3" t="n">
        <v>75</v>
      </c>
      <c r="D15" s="3" t="n">
        <v>4</v>
      </c>
      <c r="E15" s="4" t="n">
        <v>1</v>
      </c>
      <c r="F15" s="2" t="s">
        <v>59</v>
      </c>
      <c r="G15" s="4" t="n">
        <v>306</v>
      </c>
      <c r="H15" s="2" t="s">
        <v>60</v>
      </c>
      <c r="I15" s="4" t="n">
        <v>11</v>
      </c>
      <c r="J15" s="2" t="s">
        <v>60</v>
      </c>
      <c r="K15" s="4" t="n">
        <v>81</v>
      </c>
      <c r="L15" s="4" t="n">
        <v>70</v>
      </c>
      <c r="M15" s="3" t="n">
        <v>243</v>
      </c>
    </row>
    <row r="16" customFormat="false" ht="15" hidden="false" customHeight="false" outlineLevel="0" collapsed="false">
      <c r="A16" s="2" t="s">
        <v>34</v>
      </c>
      <c r="B16" s="2" t="s">
        <v>11</v>
      </c>
      <c r="C16" s="3" t="n">
        <v>75</v>
      </c>
      <c r="D16" s="3" t="n">
        <v>5</v>
      </c>
      <c r="E16" s="4" t="n">
        <v>1</v>
      </c>
      <c r="F16" s="2" t="s">
        <v>59</v>
      </c>
      <c r="G16" s="4" t="n">
        <v>322</v>
      </c>
      <c r="H16" s="2" t="s">
        <v>60</v>
      </c>
      <c r="I16" s="4" t="n">
        <v>12</v>
      </c>
      <c r="J16" s="2" t="s">
        <v>60</v>
      </c>
      <c r="K16" s="4" t="n">
        <v>113</v>
      </c>
      <c r="L16" s="4" t="n">
        <v>101</v>
      </c>
      <c r="M16" s="3" t="n">
        <v>373</v>
      </c>
    </row>
    <row r="17" customFormat="false" ht="15" hidden="false" customHeight="false" outlineLevel="0" collapsed="false">
      <c r="A17" s="2" t="s">
        <v>35</v>
      </c>
      <c r="B17" s="2" t="s">
        <v>36</v>
      </c>
      <c r="C17" s="3" t="n">
        <v>100</v>
      </c>
      <c r="D17" s="3" t="n">
        <v>1</v>
      </c>
      <c r="E17" s="4" t="n">
        <v>1</v>
      </c>
      <c r="F17" s="2" t="s">
        <v>59</v>
      </c>
      <c r="G17" s="4" t="n">
        <v>684</v>
      </c>
      <c r="H17" s="2" t="s">
        <v>60</v>
      </c>
      <c r="I17" s="4" t="n">
        <v>40</v>
      </c>
      <c r="J17" s="2" t="s">
        <v>60</v>
      </c>
      <c r="K17" s="4" t="n">
        <v>165</v>
      </c>
      <c r="L17" s="4" t="n">
        <v>125</v>
      </c>
      <c r="M17" s="3" t="n">
        <v>408</v>
      </c>
    </row>
    <row r="18" customFormat="false" ht="15" hidden="false" customHeight="false" outlineLevel="0" collapsed="false">
      <c r="A18" s="2" t="s">
        <v>37</v>
      </c>
      <c r="B18" s="2" t="s">
        <v>36</v>
      </c>
      <c r="C18" s="3" t="n">
        <v>100</v>
      </c>
      <c r="D18" s="3" t="n">
        <v>2</v>
      </c>
      <c r="E18" s="4" t="n">
        <v>1</v>
      </c>
      <c r="F18" s="2" t="s">
        <v>59</v>
      </c>
      <c r="G18" s="4" t="n">
        <v>534</v>
      </c>
      <c r="H18" s="2" t="s">
        <v>60</v>
      </c>
      <c r="I18" s="4" t="n">
        <v>37</v>
      </c>
      <c r="J18" s="2" t="s">
        <v>60</v>
      </c>
      <c r="K18" s="4" t="n">
        <v>136</v>
      </c>
      <c r="L18" s="4" t="n">
        <v>99</v>
      </c>
      <c r="M18" s="3" t="n">
        <v>382</v>
      </c>
    </row>
    <row r="19" customFormat="false" ht="15" hidden="false" customHeight="false" outlineLevel="0" collapsed="false">
      <c r="A19" s="2" t="s">
        <v>38</v>
      </c>
      <c r="B19" s="2" t="s">
        <v>36</v>
      </c>
      <c r="C19" s="3" t="n">
        <v>100</v>
      </c>
      <c r="D19" s="3" t="n">
        <v>3</v>
      </c>
      <c r="E19" s="4" t="n">
        <v>1</v>
      </c>
      <c r="F19" s="2" t="s">
        <v>59</v>
      </c>
      <c r="G19" s="4" t="n">
        <v>375</v>
      </c>
      <c r="H19" s="2" t="s">
        <v>60</v>
      </c>
      <c r="I19" s="4" t="n">
        <v>37</v>
      </c>
      <c r="J19" s="2" t="s">
        <v>60</v>
      </c>
      <c r="K19" s="4" t="n">
        <v>114</v>
      </c>
      <c r="L19" s="4" t="n">
        <v>77</v>
      </c>
      <c r="M19" s="3" t="n">
        <v>228</v>
      </c>
    </row>
    <row r="20" customFormat="false" ht="15" hidden="false" customHeight="false" outlineLevel="0" collapsed="false">
      <c r="A20" s="2" t="s">
        <v>39</v>
      </c>
      <c r="B20" s="2" t="s">
        <v>36</v>
      </c>
      <c r="C20" s="3" t="n">
        <v>100</v>
      </c>
      <c r="D20" s="3" t="n">
        <v>4</v>
      </c>
      <c r="E20" s="4" t="n">
        <v>1</v>
      </c>
      <c r="F20" s="2" t="s">
        <v>59</v>
      </c>
      <c r="G20" s="4" t="n">
        <v>430</v>
      </c>
      <c r="H20" s="2" t="s">
        <v>60</v>
      </c>
      <c r="I20" s="4" t="n">
        <v>36</v>
      </c>
      <c r="J20" s="2" t="s">
        <v>60</v>
      </c>
      <c r="K20" s="4" t="n">
        <v>73</v>
      </c>
      <c r="L20" s="4" t="n">
        <v>37</v>
      </c>
      <c r="M20" s="3" t="n">
        <v>55</v>
      </c>
    </row>
    <row r="21" customFormat="false" ht="15" hidden="false" customHeight="false" outlineLevel="0" collapsed="false">
      <c r="A21" s="2" t="s">
        <v>40</v>
      </c>
      <c r="B21" s="2" t="s">
        <v>36</v>
      </c>
      <c r="C21" s="3" t="n">
        <v>100</v>
      </c>
      <c r="D21" s="3" t="n">
        <v>5</v>
      </c>
      <c r="E21" s="4" t="n">
        <v>1</v>
      </c>
      <c r="F21" s="2" t="s">
        <v>59</v>
      </c>
      <c r="G21" s="4" t="n">
        <v>380</v>
      </c>
      <c r="H21" s="2" t="s">
        <v>60</v>
      </c>
      <c r="I21" s="4" t="n">
        <v>19</v>
      </c>
      <c r="J21" s="2" t="s">
        <v>60</v>
      </c>
      <c r="K21" s="4" t="n">
        <v>121</v>
      </c>
      <c r="L21" s="4" t="n">
        <v>102</v>
      </c>
      <c r="M21" s="3" t="n">
        <v>244</v>
      </c>
    </row>
    <row r="22" customFormat="false" ht="15" hidden="false" customHeight="false" outlineLevel="0" collapsed="false">
      <c r="A22" s="2" t="s">
        <v>41</v>
      </c>
      <c r="B22" s="2" t="s">
        <v>36</v>
      </c>
      <c r="C22" s="3" t="n">
        <v>50</v>
      </c>
      <c r="D22" s="3" t="n">
        <v>1</v>
      </c>
      <c r="E22" s="4" t="n">
        <v>1</v>
      </c>
      <c r="F22" s="2" t="s">
        <v>59</v>
      </c>
      <c r="G22" s="4" t="n">
        <v>347</v>
      </c>
      <c r="H22" s="2" t="s">
        <v>60</v>
      </c>
      <c r="I22" s="4" t="n">
        <v>41</v>
      </c>
      <c r="J22" s="2" t="s">
        <v>60</v>
      </c>
      <c r="K22" s="4" t="n">
        <v>137</v>
      </c>
      <c r="L22" s="4" t="n">
        <v>96</v>
      </c>
      <c r="M22" s="3" t="n">
        <v>276</v>
      </c>
    </row>
    <row r="23" customFormat="false" ht="15" hidden="false" customHeight="false" outlineLevel="0" collapsed="false">
      <c r="A23" s="2" t="s">
        <v>42</v>
      </c>
      <c r="B23" s="2" t="s">
        <v>36</v>
      </c>
      <c r="C23" s="3" t="n">
        <v>50</v>
      </c>
      <c r="D23" s="3" t="n">
        <v>2</v>
      </c>
      <c r="E23" s="4" t="n">
        <v>1</v>
      </c>
      <c r="F23" s="2" t="s">
        <v>59</v>
      </c>
      <c r="G23" s="4" t="n">
        <v>319</v>
      </c>
      <c r="H23" s="2" t="s">
        <v>60</v>
      </c>
      <c r="I23" s="4" t="n">
        <v>41</v>
      </c>
      <c r="J23" s="2" t="s">
        <v>60</v>
      </c>
      <c r="K23" s="4" t="n">
        <v>109</v>
      </c>
      <c r="L23" s="4" t="n">
        <v>68</v>
      </c>
      <c r="M23" s="3" t="n">
        <v>151</v>
      </c>
    </row>
    <row r="24" customFormat="false" ht="15" hidden="false" customHeight="false" outlineLevel="0" collapsed="false">
      <c r="A24" s="2" t="s">
        <v>43</v>
      </c>
      <c r="B24" s="2" t="s">
        <v>36</v>
      </c>
      <c r="C24" s="3" t="n">
        <v>50</v>
      </c>
      <c r="D24" s="3" t="n">
        <v>3</v>
      </c>
      <c r="E24" s="4" t="n">
        <v>1</v>
      </c>
      <c r="F24" s="2" t="s">
        <v>59</v>
      </c>
      <c r="G24" s="4" t="n">
        <v>338</v>
      </c>
      <c r="H24" s="2" t="s">
        <v>60</v>
      </c>
      <c r="I24" s="4" t="n">
        <v>25</v>
      </c>
      <c r="J24" s="2" t="s">
        <v>60</v>
      </c>
      <c r="K24" s="4" t="n">
        <v>124</v>
      </c>
      <c r="L24" s="4" t="n">
        <v>99</v>
      </c>
      <c r="M24" s="3" t="n">
        <v>208</v>
      </c>
    </row>
    <row r="25" customFormat="false" ht="15" hidden="false" customHeight="false" outlineLevel="0" collapsed="false">
      <c r="A25" s="2" t="s">
        <v>44</v>
      </c>
      <c r="B25" s="2" t="s">
        <v>36</v>
      </c>
      <c r="C25" s="3" t="n">
        <v>50</v>
      </c>
      <c r="D25" s="3" t="n">
        <v>4</v>
      </c>
      <c r="E25" s="4" t="n">
        <v>1</v>
      </c>
      <c r="F25" s="2" t="s">
        <v>59</v>
      </c>
      <c r="G25" s="4" t="n">
        <v>314</v>
      </c>
      <c r="H25" s="2" t="s">
        <v>60</v>
      </c>
      <c r="I25" s="4" t="n">
        <v>36</v>
      </c>
      <c r="J25" s="2" t="s">
        <v>60</v>
      </c>
      <c r="K25" s="4" t="n">
        <v>134</v>
      </c>
      <c r="L25" s="4" t="n">
        <v>98</v>
      </c>
      <c r="M25" s="3" t="n">
        <v>280</v>
      </c>
    </row>
    <row r="26" customFormat="false" ht="15" hidden="false" customHeight="false" outlineLevel="0" collapsed="false">
      <c r="A26" s="2" t="s">
        <v>45</v>
      </c>
      <c r="B26" s="2" t="s">
        <v>36</v>
      </c>
      <c r="C26" s="3" t="n">
        <v>50</v>
      </c>
      <c r="D26" s="3" t="n">
        <v>5</v>
      </c>
      <c r="E26" s="4" t="n">
        <v>1</v>
      </c>
      <c r="F26" s="2" t="s">
        <v>59</v>
      </c>
      <c r="G26" s="4" t="n">
        <v>316</v>
      </c>
      <c r="H26" s="2" t="s">
        <v>60</v>
      </c>
      <c r="I26" s="4" t="n">
        <v>40</v>
      </c>
      <c r="J26" s="2" t="s">
        <v>60</v>
      </c>
      <c r="K26" s="4" t="n">
        <v>131</v>
      </c>
      <c r="L26" s="4" t="n">
        <v>91</v>
      </c>
      <c r="M26" s="3" t="n">
        <v>279</v>
      </c>
    </row>
    <row r="27" customFormat="false" ht="15" hidden="false" customHeight="false" outlineLevel="0" collapsed="false">
      <c r="A27" s="2" t="s">
        <v>46</v>
      </c>
      <c r="B27" s="2" t="s">
        <v>36</v>
      </c>
      <c r="C27" s="3" t="n">
        <v>75</v>
      </c>
      <c r="D27" s="3" t="n">
        <v>1</v>
      </c>
      <c r="E27" s="4" t="n">
        <v>1</v>
      </c>
      <c r="F27" s="2" t="s">
        <v>59</v>
      </c>
      <c r="G27" s="4" t="n">
        <v>329</v>
      </c>
      <c r="H27" s="2" t="s">
        <v>60</v>
      </c>
      <c r="I27" s="4" t="n">
        <v>25</v>
      </c>
      <c r="J27" s="2" t="s">
        <v>60</v>
      </c>
      <c r="K27" s="4" t="n">
        <v>106</v>
      </c>
      <c r="L27" s="4" t="n">
        <v>81</v>
      </c>
      <c r="M27" s="3" t="n">
        <v>169</v>
      </c>
    </row>
    <row r="28" customFormat="false" ht="15" hidden="false" customHeight="false" outlineLevel="0" collapsed="false">
      <c r="A28" s="2" t="s">
        <v>47</v>
      </c>
      <c r="B28" s="2" t="s">
        <v>36</v>
      </c>
      <c r="C28" s="3" t="n">
        <v>75</v>
      </c>
      <c r="D28" s="3" t="n">
        <v>2</v>
      </c>
      <c r="E28" s="4" t="n">
        <v>1</v>
      </c>
      <c r="F28" s="2" t="s">
        <v>59</v>
      </c>
      <c r="G28" s="4" t="n">
        <v>340</v>
      </c>
      <c r="H28" s="2" t="s">
        <v>60</v>
      </c>
      <c r="I28" s="4" t="n">
        <v>38</v>
      </c>
      <c r="J28" s="2" t="s">
        <v>60</v>
      </c>
      <c r="K28" s="4" t="n">
        <v>121</v>
      </c>
      <c r="L28" s="4" t="n">
        <v>83</v>
      </c>
      <c r="M28" s="3" t="n">
        <v>213</v>
      </c>
    </row>
    <row r="29" customFormat="false" ht="15" hidden="false" customHeight="false" outlineLevel="0" collapsed="false">
      <c r="A29" s="2" t="s">
        <v>49</v>
      </c>
      <c r="B29" s="2" t="s">
        <v>36</v>
      </c>
      <c r="C29" s="3" t="n">
        <v>75</v>
      </c>
      <c r="D29" s="3" t="n">
        <v>3</v>
      </c>
      <c r="E29" s="4" t="n">
        <v>1</v>
      </c>
      <c r="F29" s="2" t="s">
        <v>59</v>
      </c>
      <c r="G29" s="4" t="n">
        <v>372</v>
      </c>
      <c r="H29" s="2" t="s">
        <v>60</v>
      </c>
      <c r="I29" s="4" t="n">
        <v>34</v>
      </c>
      <c r="J29" s="2" t="s">
        <v>60</v>
      </c>
      <c r="K29" s="4" t="n">
        <v>115</v>
      </c>
      <c r="L29" s="4" t="n">
        <v>81</v>
      </c>
      <c r="M29" s="3" t="n">
        <v>202</v>
      </c>
    </row>
    <row r="30" customFormat="false" ht="15" hidden="false" customHeight="false" outlineLevel="0" collapsed="false">
      <c r="A30" s="2" t="s">
        <v>50</v>
      </c>
      <c r="B30" s="2" t="s">
        <v>36</v>
      </c>
      <c r="C30" s="3" t="n">
        <v>75</v>
      </c>
      <c r="D30" s="3" t="n">
        <v>4</v>
      </c>
      <c r="E30" s="4" t="n">
        <v>1</v>
      </c>
      <c r="F30" s="2" t="s">
        <v>59</v>
      </c>
      <c r="G30" s="4" t="n">
        <v>335</v>
      </c>
      <c r="H30" s="2" t="s">
        <v>60</v>
      </c>
      <c r="I30" s="4" t="n">
        <v>34</v>
      </c>
      <c r="J30" s="2" t="s">
        <v>60</v>
      </c>
      <c r="K30" s="4" t="n">
        <v>112</v>
      </c>
      <c r="L30" s="4" t="n">
        <v>78</v>
      </c>
      <c r="M30" s="3" t="n">
        <v>175</v>
      </c>
    </row>
    <row r="31" customFormat="false" ht="15" hidden="false" customHeight="false" outlineLevel="0" collapsed="false">
      <c r="A31" s="2" t="s">
        <v>51</v>
      </c>
      <c r="B31" s="2" t="s">
        <v>36</v>
      </c>
      <c r="C31" s="3" t="n">
        <v>75</v>
      </c>
      <c r="D31" s="3" t="n">
        <v>5</v>
      </c>
      <c r="E31" s="4" t="n">
        <v>1</v>
      </c>
      <c r="F31" s="2" t="s">
        <v>59</v>
      </c>
      <c r="G31" s="4" t="n">
        <v>340</v>
      </c>
      <c r="H31" s="2" t="s">
        <v>60</v>
      </c>
      <c r="I31" s="4" t="n">
        <v>31</v>
      </c>
      <c r="J31" s="2" t="s">
        <v>60</v>
      </c>
      <c r="K31" s="4" t="n">
        <v>131</v>
      </c>
      <c r="L31" s="4" t="n">
        <v>100</v>
      </c>
      <c r="M31" s="3" t="n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1</v>
      </c>
      <c r="B1" s="1" t="s">
        <v>2</v>
      </c>
      <c r="C1" s="1" t="s">
        <v>61</v>
      </c>
      <c r="D1" s="1" t="s">
        <v>62</v>
      </c>
      <c r="E1" s="1" t="s">
        <v>63</v>
      </c>
      <c r="F1" s="5" t="s">
        <v>64</v>
      </c>
      <c r="G1" s="5" t="s">
        <v>65</v>
      </c>
    </row>
    <row r="2" customFormat="false" ht="15" hidden="false" customHeight="false" outlineLevel="0" collapsed="false">
      <c r="A2" s="2" t="s">
        <v>11</v>
      </c>
      <c r="B2" s="2" t="n">
        <v>100</v>
      </c>
      <c r="C2" s="2" t="n">
        <v>5</v>
      </c>
      <c r="D2" s="6" t="n">
        <f aca="false">IFERROR(AVERAGE(transition_by_run!I2,transition_by_run!I3,transition_by_run!I4,transition_by_run!I5,transition_by_run!I6),"")</f>
        <v>77.2</v>
      </c>
      <c r="E2" s="6" t="n">
        <f aca="false">IFERROR(STDEV(transition_by_run!I2,transition_by_run!I3,transition_by_run!I4,transition_by_run!I5,transition_by_run!I6),"")</f>
        <v>41.6797312851223</v>
      </c>
      <c r="F2" s="4" t="n">
        <f aca="false">IFERROR(AVERAGE(overall_summary!G2,overall_summary!G3,overall_summary!G4,overall_summary!G5,overall_summary!G6),"")</f>
        <v>497.8</v>
      </c>
      <c r="G2" s="4" t="n">
        <f aca="false">IFERROR(STDEV(overall_summary!G2,overall_summary!G3,overall_summary!G4,overall_summary!G5,overall_summary!G6),"")</f>
        <v>142.139719994096</v>
      </c>
    </row>
    <row r="3" customFormat="false" ht="15" hidden="false" customHeight="false" outlineLevel="0" collapsed="false">
      <c r="A3" s="2" t="s">
        <v>11</v>
      </c>
      <c r="B3" s="2" t="n">
        <v>75</v>
      </c>
      <c r="C3" s="2" t="n">
        <v>5</v>
      </c>
      <c r="D3" s="6" t="n">
        <f aca="false">IFERROR(AVERAGE(transition_by_run!I12,transition_by_run!I13,transition_by_run!I14,transition_by_run!I15,transition_by_run!I16),"")</f>
        <v>81.6</v>
      </c>
      <c r="E3" s="6" t="n">
        <f aca="false">IFERROR(STDEV(transition_by_run!I12,transition_by_run!I13,transition_by_run!I14,transition_by_run!I15,transition_by_run!I16),"")</f>
        <v>13.2211951048307</v>
      </c>
      <c r="F3" s="4" t="n">
        <f aca="false">IFERROR(AVERAGE(overall_summary!G12,overall_summary!G13,overall_summary!G14,overall_summary!G15,overall_summary!G16),"")</f>
        <v>306.8</v>
      </c>
      <c r="G3" s="4" t="n">
        <f aca="false">IFERROR(STDEV(overall_summary!G12,overall_summary!G13,overall_summary!G14,overall_summary!G15,overall_summary!G16),"")</f>
        <v>9.83361581515162</v>
      </c>
    </row>
    <row r="4" customFormat="false" ht="15" hidden="false" customHeight="false" outlineLevel="0" collapsed="false">
      <c r="A4" s="2" t="s">
        <v>11</v>
      </c>
      <c r="B4" s="2" t="n">
        <v>50</v>
      </c>
      <c r="C4" s="2" t="n">
        <v>5</v>
      </c>
      <c r="D4" s="6" t="n">
        <f aca="false">IFERROR(AVERAGE(transition_by_run!I7,transition_by_run!I8,transition_by_run!I9,transition_by_run!I10,transition_by_run!I11),"")</f>
        <v>79.4</v>
      </c>
      <c r="E4" s="6" t="n">
        <f aca="false">IFERROR(STDEV(transition_by_run!I7,transition_by_run!I8,transition_by_run!I9,transition_by_run!I10,transition_by_run!I11),"")</f>
        <v>24.213632523849</v>
      </c>
      <c r="F4" s="4" t="n">
        <f aca="false">IFERROR(AVERAGE(overall_summary!G7,overall_summary!G8,overall_summary!G9,overall_summary!G10,overall_summary!G11),"")</f>
        <v>291.2</v>
      </c>
      <c r="G4" s="4" t="n">
        <f aca="false">IFERROR(STDEV(overall_summary!G7,overall_summary!G8,overall_summary!G9,overall_summary!G10,overall_summary!G11),"")</f>
        <v>12.214745187682</v>
      </c>
    </row>
    <row r="5" customFormat="false" ht="15" hidden="false" customHeight="false" outlineLevel="0" collapsed="false">
      <c r="A5" s="2" t="s">
        <v>36</v>
      </c>
      <c r="B5" s="2" t="n">
        <v>100</v>
      </c>
      <c r="C5" s="2" t="n">
        <v>5</v>
      </c>
      <c r="D5" s="6" t="n">
        <f aca="false">IFERROR(AVERAGE(transition_by_run!I17,transition_by_run!I18,transition_by_run!I19,transition_by_run!I20,transition_by_run!I21),"")</f>
        <v>88</v>
      </c>
      <c r="E5" s="6" t="n">
        <f aca="false">IFERROR(STDEV(transition_by_run!I17,transition_by_run!I18,transition_by_run!I19,transition_by_run!I20,transition_by_run!I21),"")</f>
        <v>33.1963853453957</v>
      </c>
      <c r="F5" s="4" t="n">
        <f aca="false">IFERROR(AVERAGE(overall_summary!G17,overall_summary!G18,overall_summary!G19,overall_summary!G20,overall_summary!G21),"")</f>
        <v>480.6</v>
      </c>
      <c r="G5" s="4" t="n">
        <f aca="false">IFERROR(STDEV(overall_summary!G17,overall_summary!G18,overall_summary!G19,overall_summary!G20,overall_summary!G21),"")</f>
        <v>130.436957952875</v>
      </c>
    </row>
    <row r="6" customFormat="false" ht="15" hidden="false" customHeight="false" outlineLevel="0" collapsed="false">
      <c r="A6" s="2" t="s">
        <v>36</v>
      </c>
      <c r="B6" s="2" t="n">
        <v>75</v>
      </c>
      <c r="C6" s="2" t="n">
        <v>5</v>
      </c>
      <c r="D6" s="6" t="n">
        <f aca="false">IFERROR(AVERAGE(transition_by_run!I27,transition_by_run!I28,transition_by_run!I29,transition_by_run!I30,transition_by_run!I31),"")</f>
        <v>84.6</v>
      </c>
      <c r="E6" s="6" t="n">
        <f aca="false">IFERROR(STDEV(transition_by_run!I27,transition_by_run!I28,transition_by_run!I29,transition_by_run!I30,transition_by_run!I31),"")</f>
        <v>8.79204185613331</v>
      </c>
      <c r="F6" s="4" t="n">
        <f aca="false">IFERROR(AVERAGE(overall_summary!G27,overall_summary!G28,overall_summary!G29,overall_summary!G30,overall_summary!G31),"")</f>
        <v>343.2</v>
      </c>
      <c r="G6" s="4" t="n">
        <f aca="false">IFERROR(STDEV(overall_summary!G27,overall_summary!G28,overall_summary!G29,overall_summary!G30,overall_summary!G31),"")</f>
        <v>16.7242339136954</v>
      </c>
    </row>
    <row r="7" customFormat="false" ht="15" hidden="false" customHeight="false" outlineLevel="0" collapsed="false">
      <c r="A7" s="2" t="s">
        <v>36</v>
      </c>
      <c r="B7" s="2" t="n">
        <v>50</v>
      </c>
      <c r="C7" s="2" t="n">
        <v>5</v>
      </c>
      <c r="D7" s="6" t="n">
        <f aca="false">IFERROR(AVERAGE(transition_by_run!I22,transition_by_run!I23,transition_by_run!I24,transition_by_run!I25,transition_by_run!I26),"")</f>
        <v>90.4</v>
      </c>
      <c r="E7" s="6" t="n">
        <f aca="false">IFERROR(STDEV(transition_by_run!I22,transition_by_run!I23,transition_by_run!I24,transition_by_run!I25,transition_by_run!I26),"")</f>
        <v>12.8957357293021</v>
      </c>
      <c r="F7" s="4" t="n">
        <f aca="false">IFERROR(AVERAGE(overall_summary!G22,overall_summary!G23,overall_summary!G24,overall_summary!G25,overall_summary!G26),"")</f>
        <v>326.8</v>
      </c>
      <c r="G7" s="4" t="n">
        <f aca="false">IFERROR(STDEV(overall_summary!G22,overall_summary!G23,overall_summary!G24,overall_summary!G25,overall_summary!G26),"")</f>
        <v>14.7885090526395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2026-06-16T06:49:29Z</dcterms:created>
  <dc:creator>openpyxl</dc:creator>
  <dc:description/>
  <dc:language>en-US</dc:language>
  <cp:lastModifiedBy/>
  <dcterms:modified xsi:type="dcterms:W3CDTF">2026-06-16T06:49:29Z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