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1_by_run" sheetId="1" state="visible" r:id="rId3"/>
    <sheet name="condition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<sst xmlns="http://schemas.openxmlformats.org/spreadsheetml/2006/main" count="116" uniqueCount="55">
  <si>
    <t xml:space="preserve">scenario_id</t>
  </si>
  <si>
    <t xml:space="preserve">scenario</t>
  </si>
  <si>
    <t xml:space="preserve">occupancy_percent</t>
  </si>
  <si>
    <t xml:space="preserve">seed</t>
  </si>
  <si>
    <t xml:space="preserve">t_OP1</t>
  </si>
  <si>
    <t xml:space="preserve">OP1_zone</t>
  </si>
  <si>
    <t xml:space="preserve">dv_at_OP1</t>
  </si>
  <si>
    <t xml:space="preserve">dv_star</t>
  </si>
  <si>
    <t xml:space="preserve">dv_max</t>
  </si>
  <si>
    <t xml:space="preserve">OP1_duration_bins</t>
  </si>
  <si>
    <t xml:space="preserve">A_100_seed1</t>
  </si>
  <si>
    <t xml:space="preserve">A</t>
  </si>
  <si>
    <t xml:space="preserve">Z01</t>
  </si>
  <si>
    <t xml:space="preserve">A_100_seed2</t>
  </si>
  <si>
    <t xml:space="preserve">Z04</t>
  </si>
  <si>
    <t xml:space="preserve">A_100_seed3</t>
  </si>
  <si>
    <t xml:space="preserve">A_100_seed4</t>
  </si>
  <si>
    <t xml:space="preserve">Z05</t>
  </si>
  <si>
    <t xml:space="preserve">A_100_seed5</t>
  </si>
  <si>
    <t xml:space="preserve">Z07</t>
  </si>
  <si>
    <t xml:space="preserve">A_50_seed1</t>
  </si>
  <si>
    <t xml:space="preserve">A_50_seed2</t>
  </si>
  <si>
    <t xml:space="preserve">A_50_seed3</t>
  </si>
  <si>
    <t xml:space="preserve">A_50_seed4</t>
  </si>
  <si>
    <t xml:space="preserve">A_50_seed5</t>
  </si>
  <si>
    <t xml:space="preserve">A_75_seed1</t>
  </si>
  <si>
    <t xml:space="preserve">A_75_seed2</t>
  </si>
  <si>
    <t xml:space="preserve">A_75_seed3</t>
  </si>
  <si>
    <t xml:space="preserve">A_75_seed4</t>
  </si>
  <si>
    <t xml:space="preserve">A_75_seed5</t>
  </si>
  <si>
    <t xml:space="preserve">B_100_seed1</t>
  </si>
  <si>
    <t xml:space="preserve">B</t>
  </si>
  <si>
    <t xml:space="preserve">B_100_seed2</t>
  </si>
  <si>
    <t xml:space="preserve">B_100_seed3</t>
  </si>
  <si>
    <t xml:space="preserve">B_100_seed4</t>
  </si>
  <si>
    <t xml:space="preserve">B_100_seed5</t>
  </si>
  <si>
    <t xml:space="preserve">B_50_seed1</t>
  </si>
  <si>
    <t xml:space="preserve">B_50_seed2</t>
  </si>
  <si>
    <t xml:space="preserve">B_50_seed3</t>
  </si>
  <si>
    <t xml:space="preserve">B_50_seed4</t>
  </si>
  <si>
    <t xml:space="preserve">B_50_seed5</t>
  </si>
  <si>
    <t xml:space="preserve">B_75_seed1</t>
  </si>
  <si>
    <t xml:space="preserve">B_75_seed2</t>
  </si>
  <si>
    <t xml:space="preserve">Z02</t>
  </si>
  <si>
    <t xml:space="preserve">B_75_seed3</t>
  </si>
  <si>
    <t xml:space="preserve">B_75_seed4</t>
  </si>
  <si>
    <t xml:space="preserve">B_75_seed5</t>
  </si>
  <si>
    <t xml:space="preserve">n_runs</t>
  </si>
  <si>
    <t xml:space="preserve">t_OP1_mean</t>
  </si>
  <si>
    <t xml:space="preserve">t_OP1_std</t>
  </si>
  <si>
    <t xml:space="preserve">dv_max_mean</t>
  </si>
  <si>
    <t xml:space="preserve">dv_max_std</t>
  </si>
  <si>
    <t xml:space="preserve">OP1_duration_bins_mean</t>
  </si>
  <si>
    <t xml:space="preserve">OP1_duration_bins_std</t>
  </si>
  <si>
    <t xml:space="preserve">n_detected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</si>
</sst>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0"/>
    <numFmt numFmtId="168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100</v>
      </c>
      <c r="D2" s="3" t="n">
        <v>1</v>
      </c>
      <c r="E2" s="4" t="n">
        <v>13</v>
      </c>
      <c r="F2" s="2" t="s">
        <v>12</v>
      </c>
      <c r="G2" s="5" t="n">
        <v>0.221594223751433</v>
      </c>
      <c r="H2" s="5" t="n">
        <v>0.215309596214898</v>
      </c>
      <c r="I2" s="5" t="n">
        <v>0.249538349267406</v>
      </c>
      <c r="J2" s="3" t="n">
        <v>3</v>
      </c>
    </row>
    <row r="3" customFormat="false" ht="15" hidden="false" customHeight="false" outlineLevel="0" collapsed="false">
      <c r="A3" s="2" t="s">
        <v>13</v>
      </c>
      <c r="B3" s="2" t="s">
        <v>11</v>
      </c>
      <c r="C3" s="3" t="n">
        <v>100</v>
      </c>
      <c r="D3" s="3" t="n">
        <v>2</v>
      </c>
      <c r="E3" s="4" t="n">
        <v>11</v>
      </c>
      <c r="F3" s="2" t="s">
        <v>14</v>
      </c>
      <c r="G3" s="5" t="n">
        <v>0.312232107395907</v>
      </c>
      <c r="H3" s="5" t="n">
        <v>0.235883056463432</v>
      </c>
      <c r="I3" s="5" t="n">
        <v>0.312232107395907</v>
      </c>
      <c r="J3" s="3" t="n">
        <v>5</v>
      </c>
    </row>
    <row r="4" customFormat="false" ht="15" hidden="false" customHeight="false" outlineLevel="0" collapsed="false">
      <c r="A4" s="2" t="s">
        <v>15</v>
      </c>
      <c r="B4" s="2" t="s">
        <v>11</v>
      </c>
      <c r="C4" s="3" t="n">
        <v>100</v>
      </c>
      <c r="D4" s="3" t="n">
        <v>3</v>
      </c>
      <c r="E4" s="4" t="n">
        <v>11</v>
      </c>
      <c r="F4" s="2" t="s">
        <v>14</v>
      </c>
      <c r="G4" s="5" t="n">
        <v>0.300971759472546</v>
      </c>
      <c r="H4" s="5" t="n">
        <v>0.235883056463432</v>
      </c>
      <c r="I4" s="5" t="n">
        <v>0.300971759472546</v>
      </c>
      <c r="J4" s="3" t="n">
        <v>1</v>
      </c>
    </row>
    <row r="5" customFormat="false" ht="15" hidden="false" customHeight="false" outlineLevel="0" collapsed="false">
      <c r="A5" s="2" t="s">
        <v>16</v>
      </c>
      <c r="B5" s="2" t="s">
        <v>11</v>
      </c>
      <c r="C5" s="3" t="n">
        <v>100</v>
      </c>
      <c r="D5" s="3" t="n">
        <v>4</v>
      </c>
      <c r="E5" s="4" t="n">
        <v>13</v>
      </c>
      <c r="F5" s="2" t="s">
        <v>17</v>
      </c>
      <c r="G5" s="5" t="n">
        <v>0.38118761784717</v>
      </c>
      <c r="H5" s="5" t="n">
        <v>0.366730903464046</v>
      </c>
      <c r="I5" s="5" t="n">
        <v>0.42507922430857</v>
      </c>
      <c r="J5" s="3" t="n">
        <v>9</v>
      </c>
    </row>
    <row r="6" customFormat="false" ht="15" hidden="false" customHeight="false" outlineLevel="0" collapsed="false">
      <c r="A6" s="2" t="s">
        <v>18</v>
      </c>
      <c r="B6" s="2" t="s">
        <v>11</v>
      </c>
      <c r="C6" s="3" t="n">
        <v>100</v>
      </c>
      <c r="D6" s="3" t="n">
        <v>5</v>
      </c>
      <c r="E6" s="4" t="n">
        <v>10</v>
      </c>
      <c r="F6" s="2" t="s">
        <v>19</v>
      </c>
      <c r="G6" s="5" t="n">
        <v>0.314720478507257</v>
      </c>
      <c r="H6" s="5" t="n">
        <v>0.290152141653517</v>
      </c>
      <c r="I6" s="5" t="n">
        <v>0.319677571937726</v>
      </c>
      <c r="J6" s="3" t="n">
        <v>2</v>
      </c>
    </row>
    <row r="7" customFormat="false" ht="15" hidden="false" customHeight="false" outlineLevel="0" collapsed="false">
      <c r="A7" s="2" t="s">
        <v>20</v>
      </c>
      <c r="B7" s="2" t="s">
        <v>11</v>
      </c>
      <c r="C7" s="3" t="n">
        <v>50</v>
      </c>
      <c r="D7" s="3" t="n">
        <v>1</v>
      </c>
      <c r="E7" s="4" t="n">
        <v>14</v>
      </c>
      <c r="F7" s="2" t="s">
        <v>19</v>
      </c>
      <c r="G7" s="5" t="n">
        <v>0.365053420748252</v>
      </c>
      <c r="H7" s="5" t="n">
        <v>0.290152141653517</v>
      </c>
      <c r="I7" s="5" t="n">
        <v>0.365053420748252</v>
      </c>
      <c r="J7" s="3" t="n">
        <v>2</v>
      </c>
    </row>
    <row r="8" customFormat="false" ht="15" hidden="false" customHeight="false" outlineLevel="0" collapsed="false">
      <c r="A8" s="2" t="s">
        <v>21</v>
      </c>
      <c r="B8" s="2" t="s">
        <v>11</v>
      </c>
      <c r="C8" s="3" t="n">
        <v>50</v>
      </c>
      <c r="D8" s="3" t="n">
        <v>2</v>
      </c>
      <c r="E8" s="4" t="n">
        <v>14</v>
      </c>
      <c r="F8" s="2" t="s">
        <v>19</v>
      </c>
      <c r="G8" s="5" t="n">
        <v>0.332084326640087</v>
      </c>
      <c r="H8" s="5" t="n">
        <v>0.290152141653517</v>
      </c>
      <c r="I8" s="5" t="n">
        <v>0.332084326640087</v>
      </c>
      <c r="J8" s="3" t="n">
        <v>3</v>
      </c>
    </row>
    <row r="9" customFormat="false" ht="15" hidden="false" customHeight="false" outlineLevel="0" collapsed="false">
      <c r="A9" s="2" t="s">
        <v>22</v>
      </c>
      <c r="B9" s="2" t="s">
        <v>11</v>
      </c>
      <c r="C9" s="3" t="n">
        <v>50</v>
      </c>
      <c r="D9" s="3" t="n">
        <v>3</v>
      </c>
      <c r="E9" s="4" t="n">
        <v>12</v>
      </c>
      <c r="F9" s="2" t="s">
        <v>17</v>
      </c>
      <c r="G9" s="5" t="n">
        <v>0.368543742038741</v>
      </c>
      <c r="H9" s="5" t="n">
        <v>0.366730903464046</v>
      </c>
      <c r="I9" s="5" t="n">
        <v>0.368543742038741</v>
      </c>
      <c r="J9" s="3" t="n">
        <v>1</v>
      </c>
    </row>
    <row r="10" customFormat="false" ht="15" hidden="false" customHeight="false" outlineLevel="0" collapsed="false">
      <c r="A10" s="2" t="s">
        <v>23</v>
      </c>
      <c r="B10" s="2" t="s">
        <v>11</v>
      </c>
      <c r="C10" s="3" t="n">
        <v>50</v>
      </c>
      <c r="D10" s="3" t="n">
        <v>4</v>
      </c>
      <c r="E10" s="4" t="n">
        <v>15</v>
      </c>
      <c r="F10" s="2" t="s">
        <v>14</v>
      </c>
      <c r="G10" s="5" t="n">
        <v>0.245605826930515</v>
      </c>
      <c r="H10" s="5" t="n">
        <v>0.235883056463432</v>
      </c>
      <c r="I10" s="5" t="n">
        <v>0.299373495480008</v>
      </c>
      <c r="J10" s="3" t="n">
        <v>3</v>
      </c>
    </row>
    <row r="11" customFormat="false" ht="15" hidden="false" customHeight="false" outlineLevel="0" collapsed="false">
      <c r="A11" s="2" t="s">
        <v>24</v>
      </c>
      <c r="B11" s="2" t="s">
        <v>11</v>
      </c>
      <c r="C11" s="3" t="n">
        <v>50</v>
      </c>
      <c r="D11" s="3" t="n">
        <v>5</v>
      </c>
      <c r="E11" s="4" t="n">
        <v>15</v>
      </c>
      <c r="F11" s="2" t="s">
        <v>14</v>
      </c>
      <c r="G11" s="5" t="n">
        <v>0.329144345234731</v>
      </c>
      <c r="H11" s="5" t="n">
        <v>0.235883056463432</v>
      </c>
      <c r="I11" s="5" t="n">
        <v>0.329144345234731</v>
      </c>
      <c r="J11" s="3" t="n">
        <v>5</v>
      </c>
    </row>
    <row r="12" customFormat="false" ht="15" hidden="false" customHeight="false" outlineLevel="0" collapsed="false">
      <c r="A12" s="2" t="s">
        <v>25</v>
      </c>
      <c r="B12" s="2" t="s">
        <v>11</v>
      </c>
      <c r="C12" s="3" t="n">
        <v>75</v>
      </c>
      <c r="D12" s="3" t="n">
        <v>1</v>
      </c>
      <c r="E12" s="4" t="n">
        <v>12</v>
      </c>
      <c r="F12" s="2" t="s">
        <v>19</v>
      </c>
      <c r="G12" s="5" t="n">
        <v>0.317056777249754</v>
      </c>
      <c r="H12" s="5" t="n">
        <v>0.290152141653517</v>
      </c>
      <c r="I12" s="5" t="n">
        <v>0.357939921850471</v>
      </c>
      <c r="J12" s="3" t="n">
        <v>3</v>
      </c>
    </row>
    <row r="13" customFormat="false" ht="15" hidden="false" customHeight="false" outlineLevel="0" collapsed="false">
      <c r="A13" s="2" t="s">
        <v>26</v>
      </c>
      <c r="B13" s="2" t="s">
        <v>11</v>
      </c>
      <c r="C13" s="3" t="n">
        <v>75</v>
      </c>
      <c r="D13" s="3" t="n">
        <v>2</v>
      </c>
      <c r="E13" s="4" t="n">
        <v>11</v>
      </c>
      <c r="F13" s="2" t="s">
        <v>19</v>
      </c>
      <c r="G13" s="5" t="n">
        <v>0.342403271012413</v>
      </c>
      <c r="H13" s="5" t="n">
        <v>0.290152141653517</v>
      </c>
      <c r="I13" s="5" t="n">
        <v>0.342403271012413</v>
      </c>
      <c r="J13" s="3" t="n">
        <v>1</v>
      </c>
    </row>
    <row r="14" customFormat="false" ht="15" hidden="false" customHeight="false" outlineLevel="0" collapsed="false">
      <c r="A14" s="2" t="s">
        <v>27</v>
      </c>
      <c r="B14" s="2" t="s">
        <v>11</v>
      </c>
      <c r="C14" s="3" t="n">
        <v>75</v>
      </c>
      <c r="D14" s="3" t="n">
        <v>3</v>
      </c>
      <c r="E14" s="4" t="n">
        <v>10</v>
      </c>
      <c r="F14" s="2" t="s">
        <v>14</v>
      </c>
      <c r="G14" s="5" t="n">
        <v>0.275962960477589</v>
      </c>
      <c r="H14" s="5" t="n">
        <v>0.235883056463432</v>
      </c>
      <c r="I14" s="5" t="n">
        <v>0.275962960477589</v>
      </c>
      <c r="J14" s="3" t="n">
        <v>2</v>
      </c>
    </row>
    <row r="15" customFormat="false" ht="15" hidden="false" customHeight="false" outlineLevel="0" collapsed="false">
      <c r="A15" s="2" t="s">
        <v>28</v>
      </c>
      <c r="B15" s="2" t="s">
        <v>11</v>
      </c>
      <c r="C15" s="3" t="n">
        <v>75</v>
      </c>
      <c r="D15" s="3" t="n">
        <v>4</v>
      </c>
      <c r="E15" s="4" t="n">
        <v>11</v>
      </c>
      <c r="F15" s="2" t="s">
        <v>14</v>
      </c>
      <c r="G15" s="5" t="n">
        <v>0.275709992564651</v>
      </c>
      <c r="H15" s="5" t="n">
        <v>0.235883056463432</v>
      </c>
      <c r="I15" s="5" t="n">
        <v>0.275709992564651</v>
      </c>
      <c r="J15" s="3" t="n">
        <v>1</v>
      </c>
    </row>
    <row r="16" customFormat="false" ht="15" hidden="false" customHeight="false" outlineLevel="0" collapsed="false">
      <c r="A16" s="2" t="s">
        <v>29</v>
      </c>
      <c r="B16" s="2" t="s">
        <v>11</v>
      </c>
      <c r="C16" s="3" t="n">
        <v>75</v>
      </c>
      <c r="D16" s="3" t="n">
        <v>5</v>
      </c>
      <c r="E16" s="4" t="n">
        <v>12</v>
      </c>
      <c r="F16" s="2" t="s">
        <v>19</v>
      </c>
      <c r="G16" s="5" t="n">
        <v>0.341561121909388</v>
      </c>
      <c r="H16" s="5" t="n">
        <v>0.290152141653517</v>
      </c>
      <c r="I16" s="5" t="n">
        <v>0.390602416702565</v>
      </c>
      <c r="J16" s="3" t="n">
        <v>10</v>
      </c>
    </row>
    <row r="17" customFormat="false" ht="15" hidden="false" customHeight="false" outlineLevel="0" collapsed="false">
      <c r="A17" s="2" t="s">
        <v>30</v>
      </c>
      <c r="B17" s="2" t="s">
        <v>31</v>
      </c>
      <c r="C17" s="3" t="n">
        <v>100</v>
      </c>
      <c r="D17" s="3" t="n">
        <v>1</v>
      </c>
      <c r="E17" s="4" t="n">
        <v>40</v>
      </c>
      <c r="F17" s="2" t="s">
        <v>12</v>
      </c>
      <c r="G17" s="5" t="n">
        <v>0.215715862498179</v>
      </c>
      <c r="H17" s="5" t="n">
        <v>0.215309596214898</v>
      </c>
      <c r="I17" s="5" t="n">
        <v>0.215715862498179</v>
      </c>
      <c r="J17" s="3" t="n">
        <v>1</v>
      </c>
    </row>
    <row r="18" customFormat="false" ht="15" hidden="false" customHeight="false" outlineLevel="0" collapsed="false">
      <c r="A18" s="2" t="s">
        <v>32</v>
      </c>
      <c r="B18" s="2" t="s">
        <v>31</v>
      </c>
      <c r="C18" s="3" t="n">
        <v>100</v>
      </c>
      <c r="D18" s="3" t="n">
        <v>2</v>
      </c>
      <c r="E18" s="4" t="n">
        <v>37</v>
      </c>
      <c r="F18" s="2" t="s">
        <v>12</v>
      </c>
      <c r="G18" s="5" t="n">
        <v>0.244262154252352</v>
      </c>
      <c r="H18" s="5" t="n">
        <v>0.215309596214898</v>
      </c>
      <c r="I18" s="5" t="n">
        <v>0.244262154252352</v>
      </c>
      <c r="J18" s="3" t="n">
        <v>4</v>
      </c>
    </row>
    <row r="19" customFormat="false" ht="15" hidden="false" customHeight="false" outlineLevel="0" collapsed="false">
      <c r="A19" s="2" t="s">
        <v>33</v>
      </c>
      <c r="B19" s="2" t="s">
        <v>31</v>
      </c>
      <c r="C19" s="3" t="n">
        <v>100</v>
      </c>
      <c r="D19" s="3" t="n">
        <v>3</v>
      </c>
      <c r="E19" s="4" t="n">
        <v>37</v>
      </c>
      <c r="F19" s="2" t="s">
        <v>19</v>
      </c>
      <c r="G19" s="5" t="n">
        <v>0.325392071200268</v>
      </c>
      <c r="H19" s="5" t="n">
        <v>0.290152141653517</v>
      </c>
      <c r="I19" s="5" t="n">
        <v>0.433387228464243</v>
      </c>
      <c r="J19" s="3" t="n">
        <v>16</v>
      </c>
    </row>
    <row r="20" customFormat="false" ht="15" hidden="false" customHeight="false" outlineLevel="0" collapsed="false">
      <c r="A20" s="2" t="s">
        <v>34</v>
      </c>
      <c r="B20" s="2" t="s">
        <v>31</v>
      </c>
      <c r="C20" s="3" t="n">
        <v>100</v>
      </c>
      <c r="D20" s="3" t="n">
        <v>4</v>
      </c>
      <c r="E20" s="4" t="n">
        <v>36</v>
      </c>
      <c r="F20" s="2" t="s">
        <v>17</v>
      </c>
      <c r="G20" s="5" t="n">
        <v>0.440583577643208</v>
      </c>
      <c r="H20" s="5" t="n">
        <v>0.366730903464046</v>
      </c>
      <c r="I20" s="5" t="n">
        <v>0.462147763767775</v>
      </c>
      <c r="J20" s="3" t="n">
        <v>3</v>
      </c>
    </row>
    <row r="21" customFormat="false" ht="15" hidden="false" customHeight="false" outlineLevel="0" collapsed="false">
      <c r="A21" s="2" t="s">
        <v>35</v>
      </c>
      <c r="B21" s="2" t="s">
        <v>31</v>
      </c>
      <c r="C21" s="3" t="n">
        <v>100</v>
      </c>
      <c r="D21" s="3" t="n">
        <v>5</v>
      </c>
      <c r="E21" s="4" t="n">
        <v>19</v>
      </c>
      <c r="F21" s="2" t="s">
        <v>19</v>
      </c>
      <c r="G21" s="5" t="n">
        <v>0.335737993083893</v>
      </c>
      <c r="H21" s="5" t="n">
        <v>0.290152141653517</v>
      </c>
      <c r="I21" s="5" t="n">
        <v>0.335737993083893</v>
      </c>
      <c r="J21" s="3" t="n">
        <v>1</v>
      </c>
    </row>
    <row r="22" customFormat="false" ht="15" hidden="false" customHeight="false" outlineLevel="0" collapsed="false">
      <c r="A22" s="2" t="s">
        <v>36</v>
      </c>
      <c r="B22" s="2" t="s">
        <v>31</v>
      </c>
      <c r="C22" s="3" t="n">
        <v>50</v>
      </c>
      <c r="D22" s="3" t="n">
        <v>1</v>
      </c>
      <c r="E22" s="4" t="n">
        <v>41</v>
      </c>
      <c r="F22" s="2" t="s">
        <v>17</v>
      </c>
      <c r="G22" s="5" t="n">
        <v>0.369898634763634</v>
      </c>
      <c r="H22" s="5" t="n">
        <v>0.366730903464046</v>
      </c>
      <c r="I22" s="5" t="n">
        <v>0.369898634763634</v>
      </c>
      <c r="J22" s="3" t="n">
        <v>1</v>
      </c>
    </row>
    <row r="23" customFormat="false" ht="15" hidden="false" customHeight="false" outlineLevel="0" collapsed="false">
      <c r="A23" s="2" t="s">
        <v>37</v>
      </c>
      <c r="B23" s="2" t="s">
        <v>31</v>
      </c>
      <c r="C23" s="3" t="n">
        <v>50</v>
      </c>
      <c r="D23" s="3" t="n">
        <v>2</v>
      </c>
      <c r="E23" s="4" t="n">
        <v>41</v>
      </c>
      <c r="F23" s="2" t="s">
        <v>19</v>
      </c>
      <c r="G23" s="5" t="n">
        <v>0.33944660846737</v>
      </c>
      <c r="H23" s="5" t="n">
        <v>0.290152141653517</v>
      </c>
      <c r="I23" s="5" t="n">
        <v>0.33944660846737</v>
      </c>
      <c r="J23" s="3" t="n">
        <v>2</v>
      </c>
    </row>
    <row r="24" customFormat="false" ht="15" hidden="false" customHeight="false" outlineLevel="0" collapsed="false">
      <c r="A24" s="2" t="s">
        <v>38</v>
      </c>
      <c r="B24" s="2" t="s">
        <v>31</v>
      </c>
      <c r="C24" s="3" t="n">
        <v>50</v>
      </c>
      <c r="D24" s="3" t="n">
        <v>3</v>
      </c>
      <c r="E24" s="4" t="n">
        <v>25</v>
      </c>
      <c r="F24" s="2" t="s">
        <v>17</v>
      </c>
      <c r="G24" s="5" t="n">
        <v>0.374090898044847</v>
      </c>
      <c r="H24" s="5" t="n">
        <v>0.366730903464046</v>
      </c>
      <c r="I24" s="5" t="n">
        <v>0.374090898044847</v>
      </c>
      <c r="J24" s="3" t="n">
        <v>1</v>
      </c>
    </row>
    <row r="25" customFormat="false" ht="15" hidden="false" customHeight="false" outlineLevel="0" collapsed="false">
      <c r="A25" s="2" t="s">
        <v>39</v>
      </c>
      <c r="B25" s="2" t="s">
        <v>31</v>
      </c>
      <c r="C25" s="3" t="n">
        <v>50</v>
      </c>
      <c r="D25" s="3" t="n">
        <v>4</v>
      </c>
      <c r="E25" s="4" t="n">
        <v>36</v>
      </c>
      <c r="F25" s="2" t="s">
        <v>14</v>
      </c>
      <c r="G25" s="5" t="n">
        <v>0.25854829765872</v>
      </c>
      <c r="H25" s="5" t="n">
        <v>0.235883056463432</v>
      </c>
      <c r="I25" s="5" t="n">
        <v>0.260794725577204</v>
      </c>
      <c r="J25" s="3" t="n">
        <v>2</v>
      </c>
    </row>
    <row r="26" customFormat="false" ht="15" hidden="false" customHeight="false" outlineLevel="0" collapsed="false">
      <c r="A26" s="2" t="s">
        <v>40</v>
      </c>
      <c r="B26" s="2" t="s">
        <v>31</v>
      </c>
      <c r="C26" s="3" t="n">
        <v>50</v>
      </c>
      <c r="D26" s="3" t="n">
        <v>5</v>
      </c>
      <c r="E26" s="4" t="n">
        <v>40</v>
      </c>
      <c r="F26" s="2" t="s">
        <v>19</v>
      </c>
      <c r="G26" s="5" t="n">
        <v>0.326778212248002</v>
      </c>
      <c r="H26" s="5" t="n">
        <v>0.290152141653517</v>
      </c>
      <c r="I26" s="5" t="n">
        <v>0.406920139585153</v>
      </c>
      <c r="J26" s="3" t="n">
        <v>16</v>
      </c>
    </row>
    <row r="27" customFormat="false" ht="15" hidden="false" customHeight="false" outlineLevel="0" collapsed="false">
      <c r="A27" s="2" t="s">
        <v>41</v>
      </c>
      <c r="B27" s="2" t="s">
        <v>31</v>
      </c>
      <c r="C27" s="3" t="n">
        <v>75</v>
      </c>
      <c r="D27" s="3" t="n">
        <v>1</v>
      </c>
      <c r="E27" s="4" t="n">
        <v>25</v>
      </c>
      <c r="F27" s="2" t="s">
        <v>19</v>
      </c>
      <c r="G27" s="5" t="n">
        <v>0.303722278113118</v>
      </c>
      <c r="H27" s="5" t="n">
        <v>0.290152141653517</v>
      </c>
      <c r="I27" s="5" t="n">
        <v>0.303722278113118</v>
      </c>
      <c r="J27" s="3" t="n">
        <v>1</v>
      </c>
    </row>
    <row r="28" customFormat="false" ht="15" hidden="false" customHeight="false" outlineLevel="0" collapsed="false">
      <c r="A28" s="2" t="s">
        <v>42</v>
      </c>
      <c r="B28" s="2" t="s">
        <v>31</v>
      </c>
      <c r="C28" s="3" t="n">
        <v>75</v>
      </c>
      <c r="D28" s="3" t="n">
        <v>2</v>
      </c>
      <c r="E28" s="4" t="n">
        <v>38</v>
      </c>
      <c r="F28" s="2" t="s">
        <v>43</v>
      </c>
      <c r="G28" s="5" t="n">
        <v>0.297294466816993</v>
      </c>
      <c r="H28" s="5" t="n">
        <v>0.2558938469359</v>
      </c>
      <c r="I28" s="5" t="n">
        <v>0.306241734582339</v>
      </c>
      <c r="J28" s="3" t="n">
        <v>2</v>
      </c>
    </row>
    <row r="29" customFormat="false" ht="15" hidden="false" customHeight="false" outlineLevel="0" collapsed="false">
      <c r="A29" s="2" t="s">
        <v>44</v>
      </c>
      <c r="B29" s="2" t="s">
        <v>31</v>
      </c>
      <c r="C29" s="3" t="n">
        <v>75</v>
      </c>
      <c r="D29" s="3" t="n">
        <v>3</v>
      </c>
      <c r="E29" s="4" t="n">
        <v>34</v>
      </c>
      <c r="F29" s="2" t="s">
        <v>43</v>
      </c>
      <c r="G29" s="5" t="n">
        <v>0.309619120856578</v>
      </c>
      <c r="H29" s="5" t="n">
        <v>0.2558938469359</v>
      </c>
      <c r="I29" s="5" t="n">
        <v>0.339480812745319</v>
      </c>
      <c r="J29" s="3" t="n">
        <v>10</v>
      </c>
    </row>
    <row r="30" customFormat="false" ht="15" hidden="false" customHeight="false" outlineLevel="0" collapsed="false">
      <c r="A30" s="2" t="s">
        <v>45</v>
      </c>
      <c r="B30" s="2" t="s">
        <v>31</v>
      </c>
      <c r="C30" s="3" t="n">
        <v>75</v>
      </c>
      <c r="D30" s="3" t="n">
        <v>4</v>
      </c>
      <c r="E30" s="4" t="n">
        <v>34</v>
      </c>
      <c r="F30" s="2" t="s">
        <v>14</v>
      </c>
      <c r="G30" s="5" t="n">
        <v>0.31224989991992</v>
      </c>
      <c r="H30" s="5" t="n">
        <v>0.235883056463432</v>
      </c>
      <c r="I30" s="5" t="n">
        <v>0.31224989991992</v>
      </c>
      <c r="J30" s="3" t="n">
        <v>3</v>
      </c>
    </row>
    <row r="31" customFormat="false" ht="15" hidden="false" customHeight="false" outlineLevel="0" collapsed="false">
      <c r="A31" s="2" t="s">
        <v>46</v>
      </c>
      <c r="B31" s="2" t="s">
        <v>31</v>
      </c>
      <c r="C31" s="3" t="n">
        <v>75</v>
      </c>
      <c r="D31" s="3" t="n">
        <v>5</v>
      </c>
      <c r="E31" s="4" t="n">
        <v>31</v>
      </c>
      <c r="F31" s="2" t="s">
        <v>19</v>
      </c>
      <c r="G31" s="5" t="n">
        <v>0.29171218692403</v>
      </c>
      <c r="H31" s="5" t="n">
        <v>0.290152141653517</v>
      </c>
      <c r="I31" s="5" t="n">
        <v>0.370586958590762</v>
      </c>
      <c r="J31" s="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7.75" hidden="false" customHeight="true" outlineLevel="0" collapsed="false">
      <c r="A1" s="1" t="s">
        <v>1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customFormat="false" ht="15" hidden="false" customHeight="false" outlineLevel="0" collapsed="false">
      <c r="A2" s="2" t="s">
        <v>11</v>
      </c>
      <c r="B2" s="2" t="n">
        <v>100</v>
      </c>
      <c r="C2" s="2" t="n">
        <v>5</v>
      </c>
      <c r="D2" s="6" t="n">
        <f aca="false">IFERROR(AVERAGE(OP1_by_run!E2,OP1_by_run!E3,OP1_by_run!E4,OP1_by_run!E5,OP1_by_run!E6),"")</f>
        <v>11.6</v>
      </c>
      <c r="E2" s="6" t="n">
        <f aca="false">IFERROR(STDEV(OP1_by_run!E2,OP1_by_run!E3,OP1_by_run!E4,OP1_by_run!E5,OP1_by_run!E6),"")</f>
        <v>1.34164078649987</v>
      </c>
      <c r="F2" s="6" t="n">
        <f aca="false">IFERROR(AVERAGE(OP1_by_run!I2,OP1_by_run!I3,OP1_by_run!I4,OP1_by_run!I5,OP1_by_run!I6),"")</f>
        <v>0.321499802476431</v>
      </c>
      <c r="G2" s="6" t="n">
        <f aca="false">IFERROR(STDEV(OP1_by_run!I2,OP1_by_run!I3,OP1_by_run!I4,OP1_by_run!I5,OP1_by_run!I6),"")</f>
        <v>0.0640659008772334</v>
      </c>
      <c r="H2" s="6" t="n">
        <f aca="false">IFERROR(AVERAGE(OP1_by_run!J2,OP1_by_run!J3,OP1_by_run!J4,OP1_by_run!J5,OP1_by_run!J6),"")</f>
        <v>4</v>
      </c>
      <c r="I2" s="6" t="n">
        <f aca="false">IFERROR(STDEV(OP1_by_run!J2,OP1_by_run!J3,OP1_by_run!J4,OP1_by_run!J5,OP1_by_run!J6),"")</f>
        <v>3.16227766016838</v>
      </c>
      <c r="J2" s="6" t="n">
        <f aca="false">COUNT(OP1_by_run!E2,OP1_by_run!E3,OP1_by_run!E4,OP1_by_run!E5,OP1_by_run!E6)</f>
        <v>5</v>
      </c>
    </row>
    <row r="3" customFormat="false" ht="15" hidden="false" customHeight="false" outlineLevel="0" collapsed="false">
      <c r="A3" s="2" t="s">
        <v>11</v>
      </c>
      <c r="B3" s="2" t="n">
        <v>75</v>
      </c>
      <c r="C3" s="2" t="n">
        <v>5</v>
      </c>
      <c r="D3" s="6" t="n">
        <f aca="false">IFERROR(AVERAGE(OP1_by_run!E12,OP1_by_run!E13,OP1_by_run!E14,OP1_by_run!E15,OP1_by_run!E16),"")</f>
        <v>11.2</v>
      </c>
      <c r="E3" s="6" t="n">
        <f aca="false">IFERROR(STDEV(OP1_by_run!E12,OP1_by_run!E13,OP1_by_run!E14,OP1_by_run!E15,OP1_by_run!E16),"")</f>
        <v>0.836660026534076</v>
      </c>
      <c r="F3" s="6" t="n">
        <f aca="false">IFERROR(AVERAGE(OP1_by_run!I12,OP1_by_run!I13,OP1_by_run!I14,OP1_by_run!I15,OP1_by_run!I16),"")</f>
        <v>0.328523712521538</v>
      </c>
      <c r="G3" s="6" t="n">
        <f aca="false">IFERROR(STDEV(OP1_by_run!I12,OP1_by_run!I13,OP1_by_run!I14,OP1_by_run!I15,OP1_by_run!I16),"")</f>
        <v>0.0511459741795251</v>
      </c>
      <c r="H3" s="6" t="n">
        <f aca="false">IFERROR(AVERAGE(OP1_by_run!J12,OP1_by_run!J13,OP1_by_run!J14,OP1_by_run!J15,OP1_by_run!J16),"")</f>
        <v>3.4</v>
      </c>
      <c r="I3" s="6" t="n">
        <f aca="false">IFERROR(STDEV(OP1_by_run!J12,OP1_by_run!J13,OP1_by_run!J14,OP1_by_run!J15,OP1_by_run!J16),"")</f>
        <v>3.78153408023781</v>
      </c>
      <c r="J3" s="6" t="n">
        <f aca="false">COUNT(OP1_by_run!E12,OP1_by_run!E13,OP1_by_run!E14,OP1_by_run!E15,OP1_by_run!E16)</f>
        <v>5</v>
      </c>
    </row>
    <row r="4" customFormat="false" ht="15" hidden="false" customHeight="false" outlineLevel="0" collapsed="false">
      <c r="A4" s="2" t="s">
        <v>11</v>
      </c>
      <c r="B4" s="2" t="n">
        <v>50</v>
      </c>
      <c r="C4" s="2" t="n">
        <v>5</v>
      </c>
      <c r="D4" s="6" t="n">
        <f aca="false">IFERROR(AVERAGE(OP1_by_run!E7,OP1_by_run!E8,OP1_by_run!E9,OP1_by_run!E10,OP1_by_run!E11),"")</f>
        <v>14</v>
      </c>
      <c r="E4" s="6" t="n">
        <f aca="false">IFERROR(STDEV(OP1_by_run!E7,OP1_by_run!E8,OP1_by_run!E9,OP1_by_run!E10,OP1_by_run!E11),"")</f>
        <v>1.22474487139159</v>
      </c>
      <c r="F4" s="6" t="n">
        <f aca="false">IFERROR(AVERAGE(OP1_by_run!I7,OP1_by_run!I8,OP1_by_run!I9,OP1_by_run!I10,OP1_by_run!I11),"")</f>
        <v>0.338839866028364</v>
      </c>
      <c r="G4" s="6" t="n">
        <f aca="false">IFERROR(STDEV(OP1_by_run!I7,OP1_by_run!I8,OP1_by_run!I9,OP1_by_run!I10,OP1_by_run!I11),"")</f>
        <v>0.0285775503727965</v>
      </c>
      <c r="H4" s="6" t="n">
        <f aca="false">IFERROR(AVERAGE(OP1_by_run!J7,OP1_by_run!J8,OP1_by_run!J9,OP1_by_run!J10,OP1_by_run!J11),"")</f>
        <v>2.8</v>
      </c>
      <c r="I4" s="6" t="n">
        <f aca="false">IFERROR(STDEV(OP1_by_run!J7,OP1_by_run!J8,OP1_by_run!J9,OP1_by_run!J10,OP1_by_run!J11),"")</f>
        <v>1.48323969741913</v>
      </c>
      <c r="J4" s="6" t="n">
        <f aca="false">COUNT(OP1_by_run!E7,OP1_by_run!E8,OP1_by_run!E9,OP1_by_run!E10,OP1_by_run!E11)</f>
        <v>5</v>
      </c>
    </row>
    <row r="5" customFormat="false" ht="15" hidden="false" customHeight="false" outlineLevel="0" collapsed="false">
      <c r="A5" s="2" t="s">
        <v>31</v>
      </c>
      <c r="B5" s="2" t="n">
        <v>100</v>
      </c>
      <c r="C5" s="2" t="n">
        <v>5</v>
      </c>
      <c r="D5" s="6" t="n">
        <f aca="false">IFERROR(AVERAGE(OP1_by_run!E17,OP1_by_run!E18,OP1_by_run!E19,OP1_by_run!E20,OP1_by_run!E21),"")</f>
        <v>33.8</v>
      </c>
      <c r="E5" s="6" t="n">
        <f aca="false">IFERROR(STDEV(OP1_by_run!E17,OP1_by_run!E18,OP1_by_run!E19,OP1_by_run!E20,OP1_by_run!E21),"")</f>
        <v>8.40832920383116</v>
      </c>
      <c r="F5" s="6" t="n">
        <f aca="false">IFERROR(AVERAGE(OP1_by_run!I17,OP1_by_run!I18,OP1_by_run!I19,OP1_by_run!I20,OP1_by_run!I21),"")</f>
        <v>0.338250200413289</v>
      </c>
      <c r="G5" s="6" t="n">
        <f aca="false">IFERROR(STDEV(OP1_by_run!I17,OP1_by_run!I18,OP1_by_run!I19,OP1_by_run!I20,OP1_by_run!I21),"")</f>
        <v>0.109836683633768</v>
      </c>
      <c r="H5" s="6" t="n">
        <f aca="false">IFERROR(AVERAGE(OP1_by_run!J17,OP1_by_run!J18,OP1_by_run!J19,OP1_by_run!J20,OP1_by_run!J21),"")</f>
        <v>5</v>
      </c>
      <c r="I5" s="6" t="n">
        <f aca="false">IFERROR(STDEV(OP1_by_run!J17,OP1_by_run!J18,OP1_by_run!J19,OP1_by_run!J20,OP1_by_run!J21),"")</f>
        <v>6.28490254498827</v>
      </c>
      <c r="J5" s="6" t="n">
        <f aca="false">COUNT(OP1_by_run!E17,OP1_by_run!E18,OP1_by_run!E19,OP1_by_run!E20,OP1_by_run!E21)</f>
        <v>5</v>
      </c>
    </row>
    <row r="6" customFormat="false" ht="15" hidden="false" customHeight="false" outlineLevel="0" collapsed="false">
      <c r="A6" s="2" t="s">
        <v>31</v>
      </c>
      <c r="B6" s="2" t="n">
        <v>75</v>
      </c>
      <c r="C6" s="2" t="n">
        <v>5</v>
      </c>
      <c r="D6" s="6" t="n">
        <f aca="false">IFERROR(AVERAGE(OP1_by_run!E27,OP1_by_run!E28,OP1_by_run!E29,OP1_by_run!E30,OP1_by_run!E31),"")</f>
        <v>32.4</v>
      </c>
      <c r="E6" s="6" t="n">
        <f aca="false">IFERROR(STDEV(OP1_by_run!E27,OP1_by_run!E28,OP1_by_run!E29,OP1_by_run!E30,OP1_by_run!E31),"")</f>
        <v>4.82700735445887</v>
      </c>
      <c r="F6" s="6" t="n">
        <f aca="false">IFERROR(AVERAGE(OP1_by_run!I27,OP1_by_run!I28,OP1_by_run!I29,OP1_by_run!I30,OP1_by_run!I31),"")</f>
        <v>0.326456336790292</v>
      </c>
      <c r="G6" s="6" t="n">
        <f aca="false">IFERROR(STDEV(OP1_by_run!I27,OP1_by_run!I28,OP1_by_run!I29,OP1_by_run!I30,OP1_by_run!I31),"")</f>
        <v>0.0284799893316079</v>
      </c>
      <c r="H6" s="6" t="n">
        <f aca="false">IFERROR(AVERAGE(OP1_by_run!J27,OP1_by_run!J28,OP1_by_run!J29,OP1_by_run!J30,OP1_by_run!J31),"")</f>
        <v>4.6</v>
      </c>
      <c r="I6" s="6" t="n">
        <f aca="false">IFERROR(STDEV(OP1_by_run!J27,OP1_by_run!J28,OP1_by_run!J29,OP1_by_run!J30,OP1_by_run!J31),"")</f>
        <v>3.78153408023781</v>
      </c>
      <c r="J6" s="6" t="n">
        <f aca="false">COUNT(OP1_by_run!E27,OP1_by_run!E28,OP1_by_run!E29,OP1_by_run!E30,OP1_by_run!E31)</f>
        <v>5</v>
      </c>
    </row>
    <row r="7" customFormat="false" ht="15" hidden="false" customHeight="false" outlineLevel="0" collapsed="false">
      <c r="A7" s="2" t="s">
        <v>31</v>
      </c>
      <c r="B7" s="2" t="n">
        <v>50</v>
      </c>
      <c r="C7" s="2" t="n">
        <v>5</v>
      </c>
      <c r="D7" s="6" t="n">
        <f aca="false">IFERROR(AVERAGE(OP1_by_run!E22,OP1_by_run!E23,OP1_by_run!E24,OP1_by_run!E25,OP1_by_run!E26),"")</f>
        <v>36.6</v>
      </c>
      <c r="E7" s="6" t="n">
        <f aca="false">IFERROR(STDEV(OP1_by_run!E22,OP1_by_run!E23,OP1_by_run!E24,OP1_by_run!E25,OP1_by_run!E26),"")</f>
        <v>6.8044103344816</v>
      </c>
      <c r="F7" s="6" t="n">
        <f aca="false">IFERROR(AVERAGE(OP1_by_run!I22,OP1_by_run!I23,OP1_by_run!I24,OP1_by_run!I25,OP1_by_run!I26),"")</f>
        <v>0.350230201287641</v>
      </c>
      <c r="G7" s="6" t="n">
        <f aca="false">IFERROR(STDEV(OP1_by_run!I22,OP1_by_run!I23,OP1_by_run!I24,OP1_by_run!I25,OP1_by_run!I26),"")</f>
        <v>0.055418677850929</v>
      </c>
      <c r="H7" s="6" t="n">
        <f aca="false">IFERROR(AVERAGE(OP1_by_run!J22,OP1_by_run!J23,OP1_by_run!J24,OP1_by_run!J25,OP1_by_run!J26),"")</f>
        <v>4.4</v>
      </c>
      <c r="I7" s="6" t="n">
        <f aca="false">IFERROR(STDEV(OP1_by_run!J22,OP1_by_run!J23,OP1_by_run!J24,OP1_by_run!J25,OP1_by_run!J26),"")</f>
        <v>6.50384501660364</v>
      </c>
      <c r="J7" s="6" t="n">
        <f aca="false">COUNT(OP1_by_run!E22,OP1_by_run!E23,OP1_by_run!E24,OP1_by_run!E25,OP1_by_run!E26)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2026-06-16T06:49:29Z</dcterms:created>
  <dc:creator>openpyxl</dc:creator>
  <dc:description/>
  <dc:language>en-US</dc:language>
  <cp:lastModifiedBy/>
  <dcterms:modified xsi:type="dcterms:W3CDTF">2026-06-16T06:49:29Z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